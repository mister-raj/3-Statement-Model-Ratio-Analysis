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318D8015-73EE-41F2-87A0-1FD7999AF0EB}" xr6:coauthVersionLast="47" xr6:coauthVersionMax="47" xr10:uidLastSave="{00000000-0000-0000-0000-000000000000}"/>
  <bookViews>
    <workbookView xWindow="-108" yWindow="-108" windowWidth="23256" windowHeight="12456" activeTab="6" xr2:uid="{40687B01-7967-424E-9962-0FB7D2F32A19}"/>
  </bookViews>
  <sheets>
    <sheet name="Rules" sheetId="6" r:id="rId1"/>
    <sheet name="IS" sheetId="5" r:id="rId2"/>
    <sheet name="BS" sheetId="7" r:id="rId3"/>
    <sheet name="CFS" sheetId="9" r:id="rId4"/>
    <sheet name="Supporting Schedules" sheetId="8" r:id="rId5"/>
    <sheet name="Ratio Analysis" sheetId="4" r:id="rId6"/>
    <sheet name="Sheet3" sheetId="3" r:id="rId7"/>
    <sheet name="Sheet1" sheetId="10" r:id="rId8"/>
  </sheets>
  <externalReferences>
    <externalReference r:id="rId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3" i="5" l="1"/>
  <c r="H13" i="5"/>
  <c r="I13" i="5"/>
  <c r="J13" i="5"/>
  <c r="F13" i="5"/>
  <c r="G16" i="5"/>
  <c r="H16" i="5"/>
  <c r="I16" i="5"/>
  <c r="J16" i="5"/>
  <c r="F16" i="5"/>
  <c r="G29" i="7"/>
  <c r="H29" i="7"/>
  <c r="I29" i="7"/>
  <c r="J29" i="7"/>
  <c r="D107" i="3"/>
  <c r="J12" i="4"/>
  <c r="K12" i="4"/>
  <c r="L12" i="4"/>
  <c r="M12" i="4"/>
  <c r="N12" i="4"/>
  <c r="J11" i="4"/>
  <c r="K11" i="4"/>
  <c r="L11" i="4"/>
  <c r="M11" i="4"/>
  <c r="N11" i="4"/>
  <c r="J10" i="4"/>
  <c r="K10" i="4"/>
  <c r="L10" i="4"/>
  <c r="M10" i="4"/>
  <c r="N10" i="4"/>
  <c r="J9" i="4"/>
  <c r="K9" i="4"/>
  <c r="L9" i="4"/>
  <c r="M9" i="4"/>
  <c r="N9" i="4"/>
  <c r="F8" i="4"/>
  <c r="G8" i="4"/>
  <c r="H8" i="4"/>
  <c r="I8" i="4"/>
  <c r="J8" i="4"/>
  <c r="K8" i="4"/>
  <c r="L8" i="4"/>
  <c r="M8" i="4"/>
  <c r="N8" i="4"/>
  <c r="E8" i="4"/>
  <c r="F7" i="4"/>
  <c r="G7" i="4"/>
  <c r="H7" i="4"/>
  <c r="I7" i="4"/>
  <c r="J7" i="4"/>
  <c r="K7" i="4"/>
  <c r="L7" i="4"/>
  <c r="M7" i="4"/>
  <c r="N7" i="4"/>
  <c r="E7" i="4"/>
  <c r="G10" i="8" l="1"/>
  <c r="H10" i="8"/>
  <c r="I10" i="8"/>
  <c r="J10" i="8"/>
  <c r="G11" i="8"/>
  <c r="H11" i="8"/>
  <c r="I11" i="8"/>
  <c r="J11" i="8"/>
  <c r="G12" i="8"/>
  <c r="H12" i="8"/>
  <c r="I12" i="8"/>
  <c r="J12" i="8"/>
  <c r="F12" i="8"/>
  <c r="F11" i="8"/>
  <c r="F10" i="8"/>
  <c r="G8" i="8"/>
  <c r="H8" i="8"/>
  <c r="I8" i="8"/>
  <c r="J8" i="8"/>
  <c r="F8" i="8"/>
  <c r="G7" i="8"/>
  <c r="H7" i="8"/>
  <c r="I7" i="8"/>
  <c r="I9" i="8" s="1"/>
  <c r="J7" i="8"/>
  <c r="F7" i="8"/>
  <c r="G6" i="8"/>
  <c r="H6" i="8"/>
  <c r="I6" i="8"/>
  <c r="J6" i="8"/>
  <c r="F6" i="8"/>
  <c r="O26" i="8"/>
  <c r="N26" i="8"/>
  <c r="M26" i="8"/>
  <c r="L26" i="8"/>
  <c r="K26" i="8"/>
  <c r="O20" i="8"/>
  <c r="N20" i="8"/>
  <c r="M20" i="8"/>
  <c r="L20" i="8"/>
  <c r="K20" i="8"/>
  <c r="K5" i="5"/>
  <c r="J9" i="8" l="1"/>
  <c r="J14" i="8" s="1"/>
  <c r="F9" i="8"/>
  <c r="H9" i="8"/>
  <c r="F13" i="8"/>
  <c r="F14" i="8" s="1"/>
  <c r="G9" i="8"/>
  <c r="J13" i="8"/>
  <c r="I13" i="8"/>
  <c r="H13" i="8"/>
  <c r="I14" i="8"/>
  <c r="G13" i="8"/>
  <c r="F22" i="8"/>
  <c r="G19" i="8" s="1"/>
  <c r="G22" i="8" s="1"/>
  <c r="H19" i="8" s="1"/>
  <c r="H22" i="8" s="1"/>
  <c r="I19" i="8" s="1"/>
  <c r="I22" i="8" s="1"/>
  <c r="J19" i="8" s="1"/>
  <c r="J22" i="8" s="1"/>
  <c r="K19" i="8" s="1"/>
  <c r="H14" i="8" l="1"/>
  <c r="H15" i="8" s="1"/>
  <c r="J15" i="8"/>
  <c r="G14" i="8"/>
  <c r="G15" i="8"/>
  <c r="I15" i="8"/>
  <c r="K21" i="8"/>
  <c r="K22" i="8" s="1"/>
  <c r="F13" i="4" l="1"/>
  <c r="L19" i="8"/>
  <c r="L21" i="8" s="1"/>
  <c r="L22" i="8" s="1"/>
  <c r="J13" i="4"/>
  <c r="I20" i="9"/>
  <c r="J18" i="9"/>
  <c r="I18" i="9"/>
  <c r="H18" i="9"/>
  <c r="G18" i="9"/>
  <c r="F18" i="9"/>
  <c r="J13" i="9"/>
  <c r="J20" i="9" s="1"/>
  <c r="I13" i="9"/>
  <c r="H13" i="9"/>
  <c r="G13" i="9"/>
  <c r="F13" i="9"/>
  <c r="J9" i="9"/>
  <c r="I9" i="9"/>
  <c r="H9" i="9"/>
  <c r="G9" i="9"/>
  <c r="G20" i="9" s="1"/>
  <c r="F9" i="9"/>
  <c r="O46" i="7"/>
  <c r="N46" i="7"/>
  <c r="M46" i="7"/>
  <c r="L46" i="7"/>
  <c r="K46" i="7"/>
  <c r="J42" i="7"/>
  <c r="I42" i="7"/>
  <c r="H42" i="7"/>
  <c r="G42" i="7"/>
  <c r="F42" i="7"/>
  <c r="J33" i="7"/>
  <c r="I33" i="7"/>
  <c r="H33" i="7"/>
  <c r="G33" i="7"/>
  <c r="J18" i="7"/>
  <c r="I18" i="7"/>
  <c r="H18" i="7"/>
  <c r="G18" i="7"/>
  <c r="F18" i="7"/>
  <c r="K10" i="5"/>
  <c r="K7" i="5"/>
  <c r="K9" i="5" s="1"/>
  <c r="K12" i="5" s="1"/>
  <c r="K15" i="5" s="1"/>
  <c r="K18" i="5" s="1"/>
  <c r="AD6" i="5"/>
  <c r="AC6" i="5"/>
  <c r="AB6" i="5"/>
  <c r="AA6" i="5"/>
  <c r="Z6" i="5"/>
  <c r="L5" i="5"/>
  <c r="M5" i="5" s="1"/>
  <c r="N5" i="5" s="1"/>
  <c r="O5" i="5" s="1"/>
  <c r="O7" i="5" s="1"/>
  <c r="S11" i="5"/>
  <c r="S10" i="5"/>
  <c r="T10" i="5"/>
  <c r="U10" i="5"/>
  <c r="R10" i="5"/>
  <c r="G11" i="5"/>
  <c r="H11" i="5"/>
  <c r="I11" i="5"/>
  <c r="J11" i="5"/>
  <c r="F11" i="5"/>
  <c r="J9" i="5"/>
  <c r="J12" i="5" s="1"/>
  <c r="J15" i="5" s="1"/>
  <c r="I9" i="5"/>
  <c r="I12" i="5" s="1"/>
  <c r="I15" i="5" s="1"/>
  <c r="H9" i="5"/>
  <c r="H12" i="5" s="1"/>
  <c r="H15" i="5" s="1"/>
  <c r="G9" i="4" s="1"/>
  <c r="G9" i="5"/>
  <c r="G12" i="5" s="1"/>
  <c r="G15" i="5" s="1"/>
  <c r="F9" i="5"/>
  <c r="F12" i="5" s="1"/>
  <c r="F15" i="5" s="1"/>
  <c r="G8" i="5"/>
  <c r="AA7" i="5" s="1"/>
  <c r="H8" i="5"/>
  <c r="AB7" i="5" s="1"/>
  <c r="AB8" i="5" s="1"/>
  <c r="I8" i="5"/>
  <c r="AC7" i="5" s="1"/>
  <c r="J8" i="5"/>
  <c r="AD7" i="5" s="1"/>
  <c r="F8" i="5"/>
  <c r="Z7" i="5" s="1"/>
  <c r="J6" i="5"/>
  <c r="U11" i="5" s="1"/>
  <c r="I6" i="5"/>
  <c r="T11" i="5" s="1"/>
  <c r="H6" i="5"/>
  <c r="G6" i="5"/>
  <c r="R11" i="5" s="1"/>
  <c r="G117" i="3"/>
  <c r="J116" i="3"/>
  <c r="I116" i="3"/>
  <c r="H116" i="3"/>
  <c r="G115" i="3"/>
  <c r="F115" i="3"/>
  <c r="E115" i="3"/>
  <c r="D115" i="3"/>
  <c r="I112" i="3"/>
  <c r="H112" i="3"/>
  <c r="G112" i="3"/>
  <c r="F112" i="3"/>
  <c r="E112" i="3"/>
  <c r="D112" i="3"/>
  <c r="H106" i="3"/>
  <c r="G106" i="3"/>
  <c r="F106" i="3"/>
  <c r="E106" i="3"/>
  <c r="D106" i="3"/>
  <c r="D105" i="3"/>
  <c r="E103" i="3" s="1"/>
  <c r="E105" i="3" s="1"/>
  <c r="F103" i="3" s="1"/>
  <c r="F105" i="3" s="1"/>
  <c r="G103" i="3" s="1"/>
  <c r="G105" i="3" s="1"/>
  <c r="H103" i="3" s="1"/>
  <c r="H105" i="3" s="1"/>
  <c r="I103" i="3" s="1"/>
  <c r="M104" i="3"/>
  <c r="L104" i="3"/>
  <c r="K104" i="3"/>
  <c r="J104" i="3"/>
  <c r="I104" i="3"/>
  <c r="H104" i="3"/>
  <c r="G104" i="3"/>
  <c r="F104" i="3"/>
  <c r="E104" i="3"/>
  <c r="D104" i="3"/>
  <c r="H99" i="3"/>
  <c r="G99" i="3"/>
  <c r="F99" i="3"/>
  <c r="E99" i="3"/>
  <c r="D99" i="3"/>
  <c r="M98" i="3"/>
  <c r="M73" i="3" s="1"/>
  <c r="M74" i="3" s="1"/>
  <c r="M116" i="3" s="1"/>
  <c r="L98" i="3"/>
  <c r="L73" i="3" s="1"/>
  <c r="L74" i="3" s="1"/>
  <c r="L116" i="3" s="1"/>
  <c r="K98" i="3"/>
  <c r="K73" i="3" s="1"/>
  <c r="K74" i="3" s="1"/>
  <c r="K116" i="3" s="1"/>
  <c r="J98" i="3"/>
  <c r="I98" i="3"/>
  <c r="H98" i="3"/>
  <c r="G98" i="3"/>
  <c r="F98" i="3"/>
  <c r="E98" i="3"/>
  <c r="D98" i="3"/>
  <c r="D100" i="3" s="1"/>
  <c r="E97" i="3" s="1"/>
  <c r="E100" i="3" s="1"/>
  <c r="F97" i="3" s="1"/>
  <c r="F100" i="3" s="1"/>
  <c r="G97" i="3" s="1"/>
  <c r="G100" i="3" s="1"/>
  <c r="H97" i="3" s="1"/>
  <c r="H100" i="3" s="1"/>
  <c r="I97" i="3" s="1"/>
  <c r="H92" i="3"/>
  <c r="G92" i="3"/>
  <c r="F92" i="3"/>
  <c r="E92" i="3"/>
  <c r="D92" i="3"/>
  <c r="H91" i="3"/>
  <c r="G91" i="3"/>
  <c r="F91" i="3"/>
  <c r="E91" i="3"/>
  <c r="E93" i="3" s="1"/>
  <c r="D91" i="3"/>
  <c r="I90" i="3"/>
  <c r="H90" i="3"/>
  <c r="H93" i="3" s="1"/>
  <c r="H94" i="3" s="1"/>
  <c r="G90" i="3"/>
  <c r="G93" i="3" s="1"/>
  <c r="G94" i="3" s="1"/>
  <c r="F90" i="3"/>
  <c r="F93" i="3" s="1"/>
  <c r="F94" i="3" s="1"/>
  <c r="E90" i="3"/>
  <c r="D90" i="3"/>
  <c r="F81" i="3"/>
  <c r="E81" i="3"/>
  <c r="H79" i="3"/>
  <c r="H117" i="3" s="1"/>
  <c r="G79" i="3"/>
  <c r="G81" i="3" s="1"/>
  <c r="F79" i="3"/>
  <c r="F117" i="3" s="1"/>
  <c r="E79" i="3"/>
  <c r="E117" i="3" s="1"/>
  <c r="D79" i="3"/>
  <c r="D117" i="3" s="1"/>
  <c r="M78" i="3"/>
  <c r="L78" i="3"/>
  <c r="K78" i="3"/>
  <c r="J78" i="3"/>
  <c r="J79" i="3" s="1"/>
  <c r="J117" i="3" s="1"/>
  <c r="I78" i="3"/>
  <c r="M77" i="3"/>
  <c r="M79" i="3" s="1"/>
  <c r="M117" i="3" s="1"/>
  <c r="L77" i="3"/>
  <c r="L79" i="3" s="1"/>
  <c r="L117" i="3" s="1"/>
  <c r="K77" i="3"/>
  <c r="K79" i="3" s="1"/>
  <c r="K117" i="3" s="1"/>
  <c r="J77" i="3"/>
  <c r="I77" i="3"/>
  <c r="J74" i="3"/>
  <c r="I74" i="3"/>
  <c r="H74" i="3"/>
  <c r="G74" i="3"/>
  <c r="G116" i="3" s="1"/>
  <c r="F74" i="3"/>
  <c r="F116" i="3" s="1"/>
  <c r="E74" i="3"/>
  <c r="E116" i="3" s="1"/>
  <c r="D74" i="3"/>
  <c r="D116" i="3" s="1"/>
  <c r="J73" i="3"/>
  <c r="I73" i="3"/>
  <c r="H70" i="3"/>
  <c r="G70" i="3"/>
  <c r="F70" i="3"/>
  <c r="E70" i="3"/>
  <c r="D70" i="3"/>
  <c r="F59" i="3"/>
  <c r="F61" i="3" s="1"/>
  <c r="F3" i="3" s="1"/>
  <c r="H58" i="3"/>
  <c r="H59" i="3" s="1"/>
  <c r="G58" i="3"/>
  <c r="G59" i="3" s="1"/>
  <c r="F58" i="3"/>
  <c r="E58" i="3"/>
  <c r="E59" i="3" s="1"/>
  <c r="E61" i="3" s="1"/>
  <c r="E3" i="3" s="1"/>
  <c r="D58" i="3"/>
  <c r="H54" i="3"/>
  <c r="G54" i="3"/>
  <c r="F54" i="3"/>
  <c r="E54" i="3"/>
  <c r="D54" i="3"/>
  <c r="D59" i="3" s="1"/>
  <c r="D61" i="3" s="1"/>
  <c r="D3" i="3" s="1"/>
  <c r="H49" i="3"/>
  <c r="G49" i="3"/>
  <c r="F49" i="3"/>
  <c r="E49" i="3"/>
  <c r="D49" i="3"/>
  <c r="K46" i="3"/>
  <c r="K90" i="3" s="1"/>
  <c r="J46" i="3"/>
  <c r="J90" i="3" s="1"/>
  <c r="I46" i="3"/>
  <c r="F36" i="3"/>
  <c r="F14" i="3" s="1"/>
  <c r="H35" i="3"/>
  <c r="G35" i="3"/>
  <c r="F35" i="3"/>
  <c r="E35" i="3"/>
  <c r="K32" i="3"/>
  <c r="H32" i="3"/>
  <c r="G32" i="3"/>
  <c r="F32" i="3"/>
  <c r="E32" i="3"/>
  <c r="D32" i="3"/>
  <c r="D35" i="3" s="1"/>
  <c r="M31" i="3"/>
  <c r="L31" i="3"/>
  <c r="K31" i="3"/>
  <c r="J31" i="3"/>
  <c r="I31" i="3"/>
  <c r="K30" i="3"/>
  <c r="J30" i="3"/>
  <c r="I30" i="3"/>
  <c r="H28" i="3"/>
  <c r="G28" i="3"/>
  <c r="G113" i="3" s="1"/>
  <c r="F28" i="3"/>
  <c r="F113" i="3" s="1"/>
  <c r="E28" i="3"/>
  <c r="E36" i="3" s="1"/>
  <c r="D28" i="3"/>
  <c r="D36" i="3" s="1"/>
  <c r="J27" i="3"/>
  <c r="J47" i="3" s="1"/>
  <c r="J91" i="3" s="1"/>
  <c r="I27" i="3"/>
  <c r="K26" i="3"/>
  <c r="I26" i="3"/>
  <c r="J26" i="3" s="1"/>
  <c r="H20" i="3"/>
  <c r="G20" i="3"/>
  <c r="F20" i="3"/>
  <c r="E20" i="3"/>
  <c r="D20" i="3"/>
  <c r="H19" i="3"/>
  <c r="G19" i="3"/>
  <c r="F19" i="3"/>
  <c r="E19" i="3"/>
  <c r="D19" i="3"/>
  <c r="H18" i="3"/>
  <c r="G18" i="3"/>
  <c r="F18" i="3"/>
  <c r="E18" i="3"/>
  <c r="D18" i="3"/>
  <c r="H17" i="3"/>
  <c r="G17" i="3"/>
  <c r="F17" i="3"/>
  <c r="E17" i="3"/>
  <c r="D17" i="3"/>
  <c r="H16" i="3"/>
  <c r="G16" i="3"/>
  <c r="F16" i="3"/>
  <c r="E16" i="3"/>
  <c r="D16" i="3"/>
  <c r="H15" i="3"/>
  <c r="G15" i="3"/>
  <c r="F15" i="3"/>
  <c r="E15" i="3"/>
  <c r="D15" i="3"/>
  <c r="H13" i="3"/>
  <c r="G13" i="3"/>
  <c r="F13" i="3"/>
  <c r="E13" i="3"/>
  <c r="D13" i="3"/>
  <c r="H12" i="3"/>
  <c r="G12" i="3"/>
  <c r="F12" i="3"/>
  <c r="E12" i="3"/>
  <c r="D12" i="3"/>
  <c r="H11" i="3"/>
  <c r="G11" i="3"/>
  <c r="F11" i="3"/>
  <c r="E11" i="3"/>
  <c r="D11" i="3"/>
  <c r="H10" i="3"/>
  <c r="G10" i="3"/>
  <c r="F10" i="3"/>
  <c r="E10" i="3"/>
  <c r="D10" i="3"/>
  <c r="H9" i="3"/>
  <c r="G9" i="3"/>
  <c r="F9" i="3"/>
  <c r="E9" i="3"/>
  <c r="D9" i="3"/>
  <c r="H8" i="3"/>
  <c r="G8" i="3"/>
  <c r="F8" i="3"/>
  <c r="E8" i="3"/>
  <c r="E2" i="3"/>
  <c r="F2" i="3" s="1"/>
  <c r="G2" i="3" s="1"/>
  <c r="H2" i="3" s="1"/>
  <c r="I2" i="3" s="1"/>
  <c r="J2" i="3" s="1"/>
  <c r="K2" i="3" s="1"/>
  <c r="L2" i="3" s="1"/>
  <c r="M2" i="3" s="1"/>
  <c r="G18" i="5" l="1"/>
  <c r="F9" i="4"/>
  <c r="H9" i="4"/>
  <c r="H13" i="4"/>
  <c r="I9" i="4"/>
  <c r="I13" i="4"/>
  <c r="G13" i="4"/>
  <c r="E9" i="4"/>
  <c r="E13" i="4"/>
  <c r="M19" i="8"/>
  <c r="M21" i="8" s="1"/>
  <c r="M22" i="8" s="1"/>
  <c r="K13" i="4"/>
  <c r="F20" i="9"/>
  <c r="F22" i="9" s="1"/>
  <c r="G21" i="9" s="1"/>
  <c r="H20" i="9"/>
  <c r="O9" i="5"/>
  <c r="T12" i="5"/>
  <c r="O12" i="5"/>
  <c r="O15" i="5" s="1"/>
  <c r="O18" i="5" s="1"/>
  <c r="U12" i="5"/>
  <c r="N7" i="5"/>
  <c r="N9" i="5" s="1"/>
  <c r="M7" i="5"/>
  <c r="M9" i="5" s="1"/>
  <c r="O10" i="5"/>
  <c r="L7" i="5"/>
  <c r="L9" i="5" s="1"/>
  <c r="N10" i="5"/>
  <c r="S12" i="5"/>
  <c r="L10" i="5"/>
  <c r="M10" i="5"/>
  <c r="AA8" i="5"/>
  <c r="AC8" i="5"/>
  <c r="AD8" i="5"/>
  <c r="K19" i="5"/>
  <c r="K20" i="5" s="1"/>
  <c r="G22" i="9"/>
  <c r="H21" i="9" s="1"/>
  <c r="H22" i="9" s="1"/>
  <c r="I21" i="9" s="1"/>
  <c r="I22" i="9" s="1"/>
  <c r="J21" i="9" s="1"/>
  <c r="J22" i="9" s="1"/>
  <c r="H44" i="7"/>
  <c r="H46" i="7" s="1"/>
  <c r="I44" i="7"/>
  <c r="I46" i="7" s="1"/>
  <c r="J44" i="7"/>
  <c r="J46" i="7" s="1"/>
  <c r="G44" i="7"/>
  <c r="G46" i="7" s="1"/>
  <c r="F18" i="5"/>
  <c r="F19" i="5" s="1"/>
  <c r="F20" i="5" s="1"/>
  <c r="H18" i="5"/>
  <c r="H19" i="5" s="1"/>
  <c r="H20" i="5" s="1"/>
  <c r="I18" i="5"/>
  <c r="I19" i="5" s="1"/>
  <c r="I20" i="5" s="1"/>
  <c r="J18" i="5"/>
  <c r="J19" i="5" s="1"/>
  <c r="J20" i="5" s="1"/>
  <c r="G19" i="5"/>
  <c r="G20" i="5" s="1"/>
  <c r="D39" i="3"/>
  <c r="D14" i="3"/>
  <c r="E14" i="3"/>
  <c r="E39" i="3"/>
  <c r="I99" i="3"/>
  <c r="I68" i="3" s="1"/>
  <c r="I33" i="3" s="1"/>
  <c r="I105" i="3"/>
  <c r="I106" i="3"/>
  <c r="I34" i="3" s="1"/>
  <c r="D113" i="3"/>
  <c r="G61" i="3"/>
  <c r="G3" i="3" s="1"/>
  <c r="E113" i="3"/>
  <c r="J28" i="3"/>
  <c r="J112" i="3"/>
  <c r="H61" i="3"/>
  <c r="H3" i="3" s="1"/>
  <c r="I56" i="3"/>
  <c r="I79" i="3"/>
  <c r="I117" i="3" s="1"/>
  <c r="D93" i="3"/>
  <c r="D94" i="3" s="1"/>
  <c r="I47" i="3"/>
  <c r="I91" i="3" s="1"/>
  <c r="I28" i="3"/>
  <c r="K27" i="3"/>
  <c r="K28" i="3" s="1"/>
  <c r="K112" i="3"/>
  <c r="E94" i="3"/>
  <c r="H36" i="3"/>
  <c r="H113" i="3"/>
  <c r="I32" i="3"/>
  <c r="I35" i="3" s="1"/>
  <c r="J52" i="3"/>
  <c r="F39" i="3"/>
  <c r="G36" i="3"/>
  <c r="I52" i="3"/>
  <c r="H115" i="3"/>
  <c r="H81" i="3"/>
  <c r="L26" i="3"/>
  <c r="J32" i="3"/>
  <c r="D81" i="3"/>
  <c r="D83" i="3" s="1"/>
  <c r="E82" i="3" s="1"/>
  <c r="E83" i="3" s="1"/>
  <c r="F82" i="3" s="1"/>
  <c r="F83" i="3" s="1"/>
  <c r="G82" i="3" s="1"/>
  <c r="G83" i="3" s="1"/>
  <c r="H82" i="3" s="1"/>
  <c r="F11" i="4" l="1"/>
  <c r="F12" i="4"/>
  <c r="F10" i="4"/>
  <c r="H12" i="4"/>
  <c r="H11" i="4"/>
  <c r="H10" i="4"/>
  <c r="I11" i="4"/>
  <c r="I12" i="4"/>
  <c r="I10" i="4"/>
  <c r="G11" i="4"/>
  <c r="G10" i="4"/>
  <c r="G12" i="4"/>
  <c r="E11" i="4"/>
  <c r="E12" i="4"/>
  <c r="E10" i="4"/>
  <c r="N19" i="8"/>
  <c r="N21" i="8" s="1"/>
  <c r="N22" i="8" s="1"/>
  <c r="L13" i="4"/>
  <c r="N12" i="5"/>
  <c r="N15" i="5" s="1"/>
  <c r="N18" i="5" s="1"/>
  <c r="N19" i="5"/>
  <c r="O19" i="5"/>
  <c r="O20" i="5" s="1"/>
  <c r="L12" i="5"/>
  <c r="L15" i="5" s="1"/>
  <c r="L18" i="5" s="1"/>
  <c r="M12" i="5"/>
  <c r="M15" i="5" s="1"/>
  <c r="M18" i="5" s="1"/>
  <c r="K113" i="3"/>
  <c r="I53" i="3"/>
  <c r="J103" i="3"/>
  <c r="G14" i="3"/>
  <c r="G39" i="3"/>
  <c r="I100" i="3"/>
  <c r="L30" i="3"/>
  <c r="L112" i="3"/>
  <c r="L27" i="3"/>
  <c r="L28" i="3"/>
  <c r="M26" i="3"/>
  <c r="L46" i="3"/>
  <c r="L90" i="3" s="1"/>
  <c r="H14" i="3"/>
  <c r="H39" i="3"/>
  <c r="I36" i="3"/>
  <c r="I113" i="3"/>
  <c r="J113" i="3"/>
  <c r="I92" i="3"/>
  <c r="I93" i="3" s="1"/>
  <c r="I94" i="3" s="1"/>
  <c r="I69" i="3" s="1"/>
  <c r="I54" i="3"/>
  <c r="K47" i="3"/>
  <c r="K91" i="3" s="1"/>
  <c r="K52" i="3"/>
  <c r="J92" i="3"/>
  <c r="J93" i="3" s="1"/>
  <c r="J56" i="3"/>
  <c r="H83" i="3"/>
  <c r="I82" i="3" s="1"/>
  <c r="O19" i="8" l="1"/>
  <c r="O21" i="8" s="1"/>
  <c r="O22" i="8" s="1"/>
  <c r="N13" i="4" s="1"/>
  <c r="M13" i="4"/>
  <c r="N20" i="5"/>
  <c r="M19" i="5"/>
  <c r="M20" i="5" s="1"/>
  <c r="L19" i="5"/>
  <c r="L20" i="5" s="1"/>
  <c r="J105" i="3"/>
  <c r="L52" i="3"/>
  <c r="L47" i="3"/>
  <c r="L91" i="3" s="1"/>
  <c r="M112" i="3"/>
  <c r="M27" i="3"/>
  <c r="M30" i="3"/>
  <c r="M46" i="3"/>
  <c r="M90" i="3" s="1"/>
  <c r="M28" i="3"/>
  <c r="L113" i="3"/>
  <c r="K56" i="3"/>
  <c r="J94" i="3"/>
  <c r="J69" i="3" s="1"/>
  <c r="I38" i="3"/>
  <c r="I39" i="3" s="1"/>
  <c r="L32" i="3"/>
  <c r="K92" i="3"/>
  <c r="K93" i="3" s="1"/>
  <c r="K94" i="3" s="1"/>
  <c r="K69" i="3" s="1"/>
  <c r="J97" i="3"/>
  <c r="I48" i="3"/>
  <c r="I67" i="3" l="1"/>
  <c r="I70" i="3" s="1"/>
  <c r="I57" i="3"/>
  <c r="L93" i="3"/>
  <c r="L94" i="3" s="1"/>
  <c r="L69" i="3" s="1"/>
  <c r="J99" i="3"/>
  <c r="J68" i="3" s="1"/>
  <c r="J33" i="3" s="1"/>
  <c r="J35" i="3" s="1"/>
  <c r="J36" i="3" s="1"/>
  <c r="L56" i="3"/>
  <c r="M113" i="3"/>
  <c r="L92" i="3"/>
  <c r="J53" i="3"/>
  <c r="J54" i="3" s="1"/>
  <c r="K103" i="3"/>
  <c r="M32" i="3"/>
  <c r="J106" i="3"/>
  <c r="J34" i="3" s="1"/>
  <c r="M52" i="3"/>
  <c r="M47" i="3"/>
  <c r="M91" i="3" s="1"/>
  <c r="M56" i="3" l="1"/>
  <c r="K105" i="3"/>
  <c r="K106" i="3"/>
  <c r="K34" i="3" s="1"/>
  <c r="J38" i="3"/>
  <c r="J39" i="3" s="1"/>
  <c r="J100" i="3"/>
  <c r="M92" i="3"/>
  <c r="M93" i="3" s="1"/>
  <c r="M94" i="3" s="1"/>
  <c r="M69" i="3" s="1"/>
  <c r="I58" i="3"/>
  <c r="I59" i="3" s="1"/>
  <c r="I115" i="3"/>
  <c r="I81" i="3"/>
  <c r="I83" i="3" s="1"/>
  <c r="J67" i="3" l="1"/>
  <c r="J70" i="3" s="1"/>
  <c r="J57" i="3"/>
  <c r="J82" i="3"/>
  <c r="I45" i="3"/>
  <c r="I49" i="3" s="1"/>
  <c r="I61" i="3"/>
  <c r="I3" i="3" s="1"/>
  <c r="L103" i="3"/>
  <c r="K53" i="3"/>
  <c r="K54" i="3" s="1"/>
  <c r="K97" i="3"/>
  <c r="J48" i="3"/>
  <c r="L105" i="3" l="1"/>
  <c r="J58" i="3"/>
  <c r="J59" i="3" s="1"/>
  <c r="K99" i="3"/>
  <c r="K68" i="3" s="1"/>
  <c r="K33" i="3" s="1"/>
  <c r="K35" i="3" s="1"/>
  <c r="K36" i="3" s="1"/>
  <c r="J81" i="3"/>
  <c r="J83" i="3" s="1"/>
  <c r="J115" i="3"/>
  <c r="J45" i="3" l="1"/>
  <c r="J49" i="3" s="1"/>
  <c r="K82" i="3"/>
  <c r="K38" i="3"/>
  <c r="K39" i="3"/>
  <c r="K100" i="3"/>
  <c r="J61" i="3"/>
  <c r="J3" i="3" s="1"/>
  <c r="M103" i="3"/>
  <c r="L53" i="3"/>
  <c r="L54" i="3" s="1"/>
  <c r="L106" i="3"/>
  <c r="L34" i="3" s="1"/>
  <c r="M105" i="3" l="1"/>
  <c r="M53" i="3" s="1"/>
  <c r="M54" i="3" s="1"/>
  <c r="L97" i="3"/>
  <c r="K48" i="3"/>
  <c r="K67" i="3"/>
  <c r="K70" i="3" s="1"/>
  <c r="K57" i="3"/>
  <c r="K58" i="3" l="1"/>
  <c r="K59" i="3" s="1"/>
  <c r="K115" i="3"/>
  <c r="K81" i="3"/>
  <c r="K83" i="3" s="1"/>
  <c r="L99" i="3"/>
  <c r="L68" i="3" s="1"/>
  <c r="L33" i="3" s="1"/>
  <c r="L35" i="3" s="1"/>
  <c r="L36" i="3" s="1"/>
  <c r="M106" i="3"/>
  <c r="M34" i="3" s="1"/>
  <c r="L38" i="3" l="1"/>
  <c r="L39" i="3"/>
  <c r="L100" i="3"/>
  <c r="K45" i="3"/>
  <c r="K49" i="3" s="1"/>
  <c r="L82" i="3"/>
  <c r="K61" i="3"/>
  <c r="K3" i="3" s="1"/>
  <c r="L48" i="3" l="1"/>
  <c r="M97" i="3"/>
  <c r="L67" i="3"/>
  <c r="L70" i="3" s="1"/>
  <c r="L57" i="3"/>
  <c r="L58" i="3" l="1"/>
  <c r="L59" i="3" s="1"/>
  <c r="L115" i="3"/>
  <c r="L81" i="3"/>
  <c r="L83" i="3" s="1"/>
  <c r="M99" i="3"/>
  <c r="M68" i="3" s="1"/>
  <c r="M33" i="3" s="1"/>
  <c r="M35" i="3" s="1"/>
  <c r="M36" i="3" s="1"/>
  <c r="M38" i="3" l="1"/>
  <c r="M39" i="3"/>
  <c r="M100" i="3"/>
  <c r="M48" i="3" s="1"/>
  <c r="L45" i="3"/>
  <c r="L49" i="3" s="1"/>
  <c r="M82" i="3"/>
  <c r="L61" i="3"/>
  <c r="L3" i="3" s="1"/>
  <c r="M67" i="3" l="1"/>
  <c r="M70" i="3" s="1"/>
  <c r="M57" i="3"/>
  <c r="M58" i="3" s="1"/>
  <c r="M59" i="3" s="1"/>
  <c r="M115" i="3" l="1"/>
  <c r="M81" i="3"/>
  <c r="M83" i="3" s="1"/>
  <c r="M45" i="3" s="1"/>
  <c r="M49" i="3" s="1"/>
  <c r="M61" i="3" s="1"/>
  <c r="M3" i="3" s="1"/>
  <c r="F28" i="8"/>
  <c r="G25" i="8" s="1"/>
  <c r="F29" i="7"/>
  <c r="F33" i="7" s="1"/>
  <c r="F44" i="7" s="1"/>
  <c r="F46" i="7" s="1"/>
  <c r="F27" i="8"/>
  <c r="G27" i="8" l="1"/>
  <c r="G28" i="8"/>
  <c r="H25" i="8" s="1"/>
  <c r="H28" i="8" l="1"/>
  <c r="I25" i="8" s="1"/>
  <c r="H27" i="8"/>
  <c r="I27" i="8" l="1"/>
  <c r="I28" i="8"/>
  <c r="J25" i="8" s="1"/>
  <c r="J28" i="8" l="1"/>
  <c r="K25" i="8" s="1"/>
  <c r="J27" i="8"/>
  <c r="K28" i="8" l="1"/>
  <c r="L25" i="8" s="1"/>
  <c r="K27" i="8"/>
  <c r="L28" i="8" l="1"/>
  <c r="M25" i="8" s="1"/>
  <c r="L27" i="8"/>
  <c r="M27" i="8" l="1"/>
  <c r="M28" i="8"/>
  <c r="N25" i="8" s="1"/>
  <c r="N27" i="8" l="1"/>
  <c r="N28" i="8"/>
  <c r="O25" i="8" s="1"/>
  <c r="O28" i="8" l="1"/>
  <c r="O27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B7" authorId="0" shapeId="0" xr:uid="{015C28D7-E1B1-4D46-AA04-71127224F16C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AR = Revenue × (DSO / 365)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5" authorId="0" shapeId="0" xr:uid="{E463137A-CD06-4688-B77F-E1845BA1797F}">
      <text>
        <r>
          <rPr>
            <sz val="11"/>
            <color theme="1"/>
            <rFont val="Calibri"/>
            <family val="2"/>
            <scheme val="minor"/>
          </rPr>
          <t>======
ID#AAAAqQiQ8JM
CFI    (2023-02-13 21:11:43)
We are using term debt/bond in this example so there's no compounding interest. To learn more about revolver and compound interest, take our LBO modeling course.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2" authorId="0" shapeId="0" xr:uid="{7E48B60F-D024-4715-AFDD-954B1FEA50A8}">
      <text>
        <r>
          <rPr>
            <sz val="11"/>
            <color theme="1"/>
            <rFont val="Calibri"/>
            <family val="2"/>
            <scheme val="minor"/>
          </rPr>
          <t xml:space="preserve">
% of opening PP&amp;E</t>
        </r>
      </text>
    </comment>
    <comment ref="I13" authorId="0" shapeId="0" xr:uid="{77D8F198-168A-4173-91CE-5076C45C00D6}">
      <text>
        <r>
          <rPr>
            <sz val="11"/>
            <color theme="1"/>
            <rFont val="Calibri"/>
            <family val="2"/>
            <scheme val="minor"/>
          </rPr>
          <t xml:space="preserve">
Average balance</t>
        </r>
      </text>
    </comment>
    <comment ref="A103" authorId="0" shapeId="0" xr:uid="{B6BA33C9-3971-41F7-9D82-15E1F5772561}">
      <text>
        <r>
          <rPr>
            <sz val="11"/>
            <color theme="1"/>
            <rFont val="Calibri"/>
            <family val="2"/>
            <scheme val="minor"/>
          </rPr>
          <t>======
ID#AAAAqQiQ8JM
CFI    (2023-02-13 21:11:43)
We are using term debt/bond in this example so there's no compounding interest. To learn more about revolver and compound interest, take our LBO modeling course.</t>
        </r>
      </text>
    </comment>
  </commentList>
</comments>
</file>

<file path=xl/sharedStrings.xml><?xml version="1.0" encoding="utf-8"?>
<sst xmlns="http://schemas.openxmlformats.org/spreadsheetml/2006/main" count="484" uniqueCount="303">
  <si>
    <t>Income Statement</t>
  </si>
  <si>
    <t>Historical Result</t>
  </si>
  <si>
    <t xml:space="preserve"> Forecast Period</t>
  </si>
  <si>
    <t>Revenue</t>
  </si>
  <si>
    <t>Cost of Goods Sold (COGS)</t>
  </si>
  <si>
    <t>Gross Profit</t>
  </si>
  <si>
    <t>Expenses</t>
  </si>
  <si>
    <t>Salaries and Benefits</t>
  </si>
  <si>
    <t>Rent and Overhead</t>
  </si>
  <si>
    <t>Depreciation &amp; Amortization</t>
  </si>
  <si>
    <t>Interest</t>
  </si>
  <si>
    <t>Total Expenses</t>
  </si>
  <si>
    <t>Earnings Before Tax</t>
  </si>
  <si>
    <t>Taxes</t>
  </si>
  <si>
    <t>Net Earnings</t>
  </si>
  <si>
    <t>EBITDA</t>
  </si>
  <si>
    <t>EBIT</t>
  </si>
  <si>
    <t>Selling, General &amp; Administrative (SG&amp;A)</t>
  </si>
  <si>
    <t>Depreciation &amp; Amortization (D&amp;A)</t>
  </si>
  <si>
    <t>Interest Expense</t>
  </si>
  <si>
    <t>Balance Sheet</t>
  </si>
  <si>
    <t>Assets</t>
  </si>
  <si>
    <t>Cash</t>
  </si>
  <si>
    <t>Accounts Receivable</t>
  </si>
  <si>
    <t>Inventory</t>
  </si>
  <si>
    <t>Property &amp; Equipment</t>
  </si>
  <si>
    <t>Total Assets</t>
  </si>
  <si>
    <t>Liabilities</t>
  </si>
  <si>
    <t>Accounts Payable</t>
  </si>
  <si>
    <t>Debt</t>
  </si>
  <si>
    <t>Total Liabilities</t>
  </si>
  <si>
    <t>Shareholder's Equity</t>
  </si>
  <si>
    <t>Equity Capital</t>
  </si>
  <si>
    <t>Retained Earnings</t>
  </si>
  <si>
    <t>Total Liabilities &amp; Shareholder's Equity</t>
  </si>
  <si>
    <t>BS Check</t>
  </si>
  <si>
    <t>Operating Cash Flow</t>
  </si>
  <si>
    <t>Plus: Depreciation &amp; Amortization</t>
  </si>
  <si>
    <t>Less: Changes in Working Capital</t>
  </si>
  <si>
    <t>Cash from Operations</t>
  </si>
  <si>
    <t>Investing Cash Flow</t>
  </si>
  <si>
    <t>Investments in Property &amp; Equipment</t>
  </si>
  <si>
    <t>Cash from Investing</t>
  </si>
  <si>
    <t>Financing Cash Flow</t>
  </si>
  <si>
    <t>Issuance (repayment) of debt</t>
  </si>
  <si>
    <t>Issuance (repayment) of equity</t>
  </si>
  <si>
    <t>Cash from Financing</t>
  </si>
  <si>
    <t>Net Increase (decrease) in Cash</t>
  </si>
  <si>
    <t>Opening Cash Balance</t>
  </si>
  <si>
    <t>Closing Cash Balance</t>
  </si>
  <si>
    <t>Supporting Schedules</t>
  </si>
  <si>
    <t>Working Capital Schedule</t>
  </si>
  <si>
    <t>Net Working Capital (NWC)</t>
  </si>
  <si>
    <t>Change in NWC</t>
  </si>
  <si>
    <t>Depreciation Schedule</t>
  </si>
  <si>
    <t>PPE Opening</t>
  </si>
  <si>
    <t>Plus Capex</t>
  </si>
  <si>
    <t>Less Depreciation</t>
  </si>
  <si>
    <t>PPE Closing</t>
  </si>
  <si>
    <t>Debt &amp; Interest Schedule</t>
  </si>
  <si>
    <t>Debt Opening</t>
  </si>
  <si>
    <t>Issuance (repayment)</t>
  </si>
  <si>
    <t>Debt Closing</t>
  </si>
  <si>
    <t>Charts and Graphs</t>
  </si>
  <si>
    <t>Gross Profit Margin (%)</t>
  </si>
  <si>
    <t>Historical Results</t>
  </si>
  <si>
    <t>Balance Sheet Check</t>
  </si>
  <si>
    <t>Assumptions</t>
  </si>
  <si>
    <t>Key Assumptions</t>
  </si>
  <si>
    <t>Revenue Growth (% Change)</t>
  </si>
  <si>
    <t>Cost of Goods Sold (% of Revenue)</t>
  </si>
  <si>
    <t>Salaries and Benefits (% of Revenue)</t>
  </si>
  <si>
    <t>Rent and Overhead ($000's)</t>
  </si>
  <si>
    <t>Depreciation &amp; Amortization (% of PP&amp;E)</t>
  </si>
  <si>
    <t>Interest (% of Debt)</t>
  </si>
  <si>
    <t>Tax Rate (% of Earnings Before Tax)</t>
  </si>
  <si>
    <t>Accounts Receivable (Days)</t>
  </si>
  <si>
    <t>Inventory (Days)</t>
  </si>
  <si>
    <t>Accounts Payable (Days)</t>
  </si>
  <si>
    <t>Capital Expenditures ($000's)</t>
  </si>
  <si>
    <t>Debt Issuance (Repayment) ($000's)</t>
  </si>
  <si>
    <t>Equity Issued (Repaid) ($000's)</t>
  </si>
  <si>
    <t>Days in Period</t>
  </si>
  <si>
    <t>Check</t>
  </si>
  <si>
    <t>Cash Flow Statement</t>
  </si>
  <si>
    <t>Industry Avg.</t>
  </si>
  <si>
    <t>PROFITABILITY</t>
  </si>
  <si>
    <t>Gross Margin</t>
  </si>
  <si>
    <t>EBITDA Margin</t>
  </si>
  <si>
    <t>Net Profit Margin</t>
  </si>
  <si>
    <t>ROE</t>
  </si>
  <si>
    <t>LIQUIDITY</t>
  </si>
  <si>
    <t>Current Ratio</t>
  </si>
  <si>
    <t>LEVERAGE</t>
  </si>
  <si>
    <t>Debt/EBITDA</t>
  </si>
  <si>
    <t>Interest Coverage</t>
  </si>
  <si>
    <t>EFFICIENCY</t>
  </si>
  <si>
    <t>Hard Coded</t>
  </si>
  <si>
    <t>Blue</t>
  </si>
  <si>
    <t>Calculated</t>
  </si>
  <si>
    <t>Black</t>
  </si>
  <si>
    <t>Refrence</t>
  </si>
  <si>
    <t>Lavender</t>
  </si>
  <si>
    <t>Modelling Rules</t>
  </si>
  <si>
    <t>Hard Coded cell</t>
  </si>
  <si>
    <t>Input Cell</t>
  </si>
  <si>
    <t>% YoY</t>
  </si>
  <si>
    <t>% of Sales</t>
  </si>
  <si>
    <t>Taxes @</t>
  </si>
  <si>
    <t>Notes:</t>
  </si>
  <si>
    <t>Industry CAGR</t>
  </si>
  <si>
    <t>Revenue forecast</t>
  </si>
  <si>
    <t>Step 1</t>
  </si>
  <si>
    <t>IBEF</t>
  </si>
  <si>
    <t>RBI</t>
  </si>
  <si>
    <t>World Bank</t>
  </si>
  <si>
    <t>Macro Data</t>
  </si>
  <si>
    <t>Industry CAGR Data</t>
  </si>
  <si>
    <t>Macro</t>
  </si>
  <si>
    <t>GDP</t>
  </si>
  <si>
    <t>Growth Rate By Country</t>
  </si>
  <si>
    <t>Sector CAGR</t>
  </si>
  <si>
    <t>Historical Trend</t>
  </si>
  <si>
    <t>Step 2</t>
  </si>
  <si>
    <t>Trend is Negative</t>
  </si>
  <si>
    <t>Forecast Rule</t>
  </si>
  <si>
    <t>Step 3</t>
  </si>
  <si>
    <t xml:space="preserve">Long-term growth id Lower than Industry CAGR </t>
  </si>
  <si>
    <t xml:space="preserve">Cost of Goods Sold (COGS) Forecast </t>
  </si>
  <si>
    <t>Historical COGS Margin</t>
  </si>
  <si>
    <t>Negative trend is great</t>
  </si>
  <si>
    <t>Decide Future Margin Behavior (THIS IS KEY)</t>
  </si>
  <si>
    <t>Case Type</t>
  </si>
  <si>
    <t>Typical Adjustment</t>
  </si>
  <si>
    <t>±0.2–0.5% tweak</t>
  </si>
  <si>
    <t>Fuel inflation linked</t>
  </si>
  <si>
    <t>Link to price index</t>
  </si>
  <si>
    <t>Manufacturing</t>
  </si>
  <si>
    <t>FMCG / Retail</t>
  </si>
  <si>
    <t>SaaS / IT Services</t>
  </si>
  <si>
    <t>Asset-heavy utilities</t>
  </si>
  <si>
    <t>Commodity Business</t>
  </si>
  <si>
    <t xml:space="preserve">Business Nature </t>
  </si>
  <si>
    <t>Physical product</t>
  </si>
  <si>
    <t xml:space="preserve">Consumer goods </t>
  </si>
  <si>
    <t xml:space="preserve">Software / digital </t>
  </si>
  <si>
    <t>Infrastructure</t>
  </si>
  <si>
    <t xml:space="preserve">Raw material driven </t>
  </si>
  <si>
    <t>Improve 0.3–0.7%</t>
  </si>
  <si>
    <t xml:space="preserve">Improve0.5–1% </t>
  </si>
  <si>
    <t>Inflation Adjustment</t>
  </si>
  <si>
    <t>Apply raw material inflation</t>
  </si>
  <si>
    <t>Cash &amp; Cash Equivalents</t>
  </si>
  <si>
    <t>Prepaid Expenses</t>
  </si>
  <si>
    <t>Other Current Assets</t>
  </si>
  <si>
    <t>Property, Plant &amp; Equipment (Gross)</t>
  </si>
  <si>
    <t>Less: Accumulated Depreciation</t>
  </si>
  <si>
    <t>Net PPE</t>
  </si>
  <si>
    <t>Capital Work in Progress (CWIP)</t>
  </si>
  <si>
    <t>Intangible Assets</t>
  </si>
  <si>
    <t>Deferred Tax Asset</t>
  </si>
  <si>
    <t>Non-Current Assets</t>
  </si>
  <si>
    <t>Current Assets</t>
  </si>
  <si>
    <t>Crrent Liabilities</t>
  </si>
  <si>
    <t>Short-Term Debt</t>
  </si>
  <si>
    <t>Accrued Expenses</t>
  </si>
  <si>
    <t>Taxes Payable</t>
  </si>
  <si>
    <t>Unearned Revenue</t>
  </si>
  <si>
    <t>Other Current Liabilities</t>
  </si>
  <si>
    <t>Long-Term Debt</t>
  </si>
  <si>
    <t>Lease Liabilities</t>
  </si>
  <si>
    <t>Deferred Tax Liability</t>
  </si>
  <si>
    <t>Provisions</t>
  </si>
  <si>
    <t>Long-Term Liabilities</t>
  </si>
  <si>
    <t>Equity Share Capital</t>
  </si>
  <si>
    <t>Share Premium</t>
  </si>
  <si>
    <t>Other Reserves</t>
  </si>
  <si>
    <t>Treasury Stock (if any)</t>
  </si>
  <si>
    <t>Minority Interest (if applicable)</t>
  </si>
  <si>
    <t>from Cash Flow Statement</t>
  </si>
  <si>
    <t>Driven by DSO (Days Sales Outstanding)</t>
  </si>
  <si>
    <t>Driven by Inventory Days / COGS</t>
  </si>
  <si>
    <t>% of SG&amp;A or flat</t>
  </si>
  <si>
    <t>% of revenue or flat</t>
  </si>
  <si>
    <t>Capex driven</t>
  </si>
  <si>
    <t>From depreciation schedule</t>
  </si>
  <si>
    <t>Project capex timing</t>
  </si>
  <si>
    <t>Capex or amortization driven</t>
  </si>
  <si>
    <t>Tax timing difference</t>
  </si>
  <si>
    <t>Debt schedule driven</t>
  </si>
  <si>
    <t>% of SG&amp;A or lagged cost</t>
  </si>
  <si>
    <t>Tax expense timing difference</t>
  </si>
  <si>
    <t>% of revenue or contract based</t>
  </si>
  <si>
    <t>Flat or % revenue</t>
  </si>
  <si>
    <t xml:space="preserve">DPO (Days Payable Outstanding) </t>
  </si>
  <si>
    <t>Debt raise + repayment schedule</t>
  </si>
  <si>
    <t>Fixed schedule</t>
  </si>
  <si>
    <t>Temporary differences</t>
  </si>
  <si>
    <t>% of revenue or historical ratio</t>
  </si>
  <si>
    <t>Changes only if new shares issued</t>
  </si>
  <si>
    <t>Comes from fundraising</t>
  </si>
  <si>
    <t>From Net Income</t>
  </si>
  <si>
    <t>Rarely forecast</t>
  </si>
  <si>
    <t>Only if buybacks</t>
  </si>
  <si>
    <t>Only for consolidated models</t>
  </si>
  <si>
    <t>Net Income</t>
  </si>
  <si>
    <t>Plus: Deferred Taxes</t>
  </si>
  <si>
    <t>Total Current Assets</t>
  </si>
  <si>
    <t>Deferred Revenue</t>
  </si>
  <si>
    <t>Total Current Liabilities</t>
  </si>
  <si>
    <t>From BS</t>
  </si>
  <si>
    <t>Plus: Capex</t>
  </si>
  <si>
    <t>Less: Depreciation</t>
  </si>
  <si>
    <t>Ratio Analysis</t>
  </si>
  <si>
    <t>Category</t>
  </si>
  <si>
    <t>Ratio Name</t>
  </si>
  <si>
    <t>Formula (Excel Logic)</t>
  </si>
  <si>
    <t>What It Means</t>
  </si>
  <si>
    <t>Gross Profit / Revenue</t>
  </si>
  <si>
    <t>Pricing power + cost efficiency</t>
  </si>
  <si>
    <t>EBITDA / Revenue</t>
  </si>
  <si>
    <t>Core operating profitability</t>
  </si>
  <si>
    <t>EBIT Margin</t>
  </si>
  <si>
    <t>EBIT / Revenue</t>
  </si>
  <si>
    <t>Operating efficiency after depreciation</t>
  </si>
  <si>
    <t>Net Income / Revenue</t>
  </si>
  <si>
    <t>Final profit retained</t>
  </si>
  <si>
    <t>Net Income / Avg Equity</t>
  </si>
  <si>
    <t>Return to shareholders</t>
  </si>
  <si>
    <t>ROA</t>
  </si>
  <si>
    <t>Net Income / Avg Total Assets</t>
  </si>
  <si>
    <t>Asset utilization efficiency</t>
  </si>
  <si>
    <t>ROIC</t>
  </si>
  <si>
    <t>NOPAT / Invested Capital</t>
  </si>
  <si>
    <t>Capital efficiency</t>
  </si>
  <si>
    <t>Ratio</t>
  </si>
  <si>
    <t>Formula</t>
  </si>
  <si>
    <t>Meaning</t>
  </si>
  <si>
    <t>Current Assets / Current Liabilities</t>
  </si>
  <si>
    <t>Short-term solvency</t>
  </si>
  <si>
    <t>Quick Ratio</t>
  </si>
  <si>
    <t>(CA – Inventory) / CL</t>
  </si>
  <si>
    <t>Liquidity without inventory</t>
  </si>
  <si>
    <t>Cash Ratio</t>
  </si>
  <si>
    <t>Cash / CL</t>
  </si>
  <si>
    <t>Pure cash safety</t>
  </si>
  <si>
    <t>Working Capital Ratio</t>
  </si>
  <si>
    <t>NWC / Revenue</t>
  </si>
  <si>
    <t>Operating liquidity intensity</t>
  </si>
  <si>
    <t>Debt/Equity</t>
  </si>
  <si>
    <t>Total Debt / Equity</t>
  </si>
  <si>
    <t>Capital structure risk</t>
  </si>
  <si>
    <t>Total Debt / EBITDA</t>
  </si>
  <si>
    <t>Debt repayment capacity</t>
  </si>
  <si>
    <t>Net Debt/EBITDA</t>
  </si>
  <si>
    <t>(Debt – Cash) / EBITDA</t>
  </si>
  <si>
    <t>True leverage</t>
  </si>
  <si>
    <t>EBIT / Interest Expense</t>
  </si>
  <si>
    <t>Interest servicing ability</t>
  </si>
  <si>
    <t>Debt Ratio</t>
  </si>
  <si>
    <t>Total Liabilities / Assets</t>
  </si>
  <si>
    <t>Balance sheet leverage</t>
  </si>
  <si>
    <t>Asset Turnover</t>
  </si>
  <si>
    <t>Revenue / Avg Assets</t>
  </si>
  <si>
    <t>Asset productivity</t>
  </si>
  <si>
    <t>Fixed Asset Turnover</t>
  </si>
  <si>
    <t>Revenue / Net PP&amp;E</t>
  </si>
  <si>
    <t>Asset utilization</t>
  </si>
  <si>
    <t>Inventory Turnover</t>
  </si>
  <si>
    <t>COGS / Avg Inventory</t>
  </si>
  <si>
    <t>Stock movement speed</t>
  </si>
  <si>
    <t>Receivable Turnover</t>
  </si>
  <si>
    <t>Revenue / Avg AR</t>
  </si>
  <si>
    <t>Collection efficiency</t>
  </si>
  <si>
    <t>WC</t>
  </si>
  <si>
    <t>DSO</t>
  </si>
  <si>
    <t>(Avg AR / Revenue) × 365</t>
  </si>
  <si>
    <t>Collection days</t>
  </si>
  <si>
    <t>DIO</t>
  </si>
  <si>
    <t>(Avg Inventory / COGS) × 365</t>
  </si>
  <si>
    <t>Inventory holding period</t>
  </si>
  <si>
    <t>DPO</t>
  </si>
  <si>
    <t>(Avg AP / COGS) × 365</t>
  </si>
  <si>
    <t>Supplier credit period</t>
  </si>
  <si>
    <t>CCC</t>
  </si>
  <si>
    <t>DSO + DIO − DPO</t>
  </si>
  <si>
    <t>Cash lock-up duration</t>
  </si>
  <si>
    <t>CASH FLOW</t>
  </si>
  <si>
    <t>Operating CF Margin</t>
  </si>
  <si>
    <t>CFO / Revenue</t>
  </si>
  <si>
    <t>Cash profitability</t>
  </si>
  <si>
    <t>FCF Margin</t>
  </si>
  <si>
    <t>FCF / Revenue</t>
  </si>
  <si>
    <t>Free cash strength</t>
  </si>
  <si>
    <t>Cash Conversion Ratio</t>
  </si>
  <si>
    <t>CFO / Net Income</t>
  </si>
  <si>
    <t>Earnings quality</t>
  </si>
  <si>
    <t>Capex Ratio</t>
  </si>
  <si>
    <t>Capex / Revenue</t>
  </si>
  <si>
    <t>Reinvestment intensity</t>
  </si>
  <si>
    <t>Repayment</t>
  </si>
  <si>
    <t>*Has to be filled from debt schedule</t>
  </si>
  <si>
    <t>*Has to be filled from depreciation 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</si>
</sst>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_-;\(#,##0\)_-;_-* &quot;-&quot;_-;_-@"/>
    <numFmt numFmtId="165" formatCode="0.0%"/>
    <numFmt numFmtId="166" formatCode="_ * #,##0_ ;_ * \-#,##0_ ;_ * &quot;-&quot;??_ ;_ @_ "/>
    <numFmt numFmtId="167" formatCode="_(* #,##0_);_(* \(#,##0\);_(* &quot;-&quot;??_);_(@_)"/>
    <numFmt numFmtId="168" formatCode="_-* #,##0_-;\-* #,##0_-;_-* &quot;-&quot;??_-;_-@"/>
    <numFmt numFmtId="169" formatCode="0.0000_ ;\-0.0000\ "/>
    <numFmt numFmtId="176" formatCode="_-* #,##0.00_-;\(#,##0.00\)_-;_-* &quot;-&quot;_-;_-@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3271D2"/>
      <name val="Open Sans"/>
      <family val="2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  <font>
      <b/>
      <sz val="10"/>
      <color theme="1"/>
      <name val="Calibri "/>
    </font>
    <font>
      <sz val="10"/>
      <color theme="1"/>
      <name val="Calibri "/>
    </font>
    <font>
      <sz val="9"/>
      <name val="Segoe UI"/>
      <family val="2"/>
    </font>
    <font>
      <sz val="9"/>
      <name val="Segoe UI"/>
      <family val="2"/>
    </font>
    <font>
      <b/>
      <sz val="12"/>
      <color rgb="FF0000FF"/>
      <name val="Arial Narrow"/>
      <family val="2"/>
    </font>
    <font>
      <b/>
      <sz val="11"/>
      <color rgb="FF0000FF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sz val="12"/>
      <color rgb="FF0000FF"/>
      <name val="Arial Narrow"/>
      <family val="2"/>
    </font>
    <font>
      <b/>
      <u/>
      <sz val="14"/>
      <name val="Segoe UI"/>
      <family val="2"/>
    </font>
    <font>
      <sz val="11"/>
      <color theme="1"/>
      <name val="Calibri"/>
      <family val="2"/>
    </font>
    <font>
      <sz val="8"/>
      <color theme="0"/>
      <name val="Arial Narrow"/>
      <family val="2"/>
    </font>
    <font>
      <b/>
      <sz val="12"/>
      <name val="Arial Narrow"/>
      <family val="2"/>
    </font>
    <font>
      <sz val="11"/>
      <name val="Calibri"/>
      <family val="2"/>
    </font>
    <font>
      <b/>
      <sz val="12"/>
      <color theme="0"/>
      <name val="Arial Narrow"/>
      <family val="2"/>
    </font>
    <font>
      <b/>
      <sz val="16"/>
      <color theme="0"/>
      <name val="Arial Narrow"/>
      <family val="2"/>
    </font>
    <font>
      <b/>
      <sz val="14"/>
      <color theme="0"/>
      <name val="Arial Narrow"/>
      <family val="2"/>
    </font>
    <font>
      <b/>
      <sz val="14"/>
      <name val="Arial Narrow"/>
      <family val="2"/>
    </font>
    <font>
      <sz val="14"/>
      <color theme="1"/>
      <name val="Arial Narrow"/>
      <family val="2"/>
    </font>
    <font>
      <i/>
      <sz val="10"/>
      <color theme="1"/>
      <name val="Arial Narrow"/>
      <family val="2"/>
    </font>
    <font>
      <i/>
      <sz val="12"/>
      <color theme="1"/>
      <name val="Arial Narrow"/>
      <family val="2"/>
    </font>
    <font>
      <sz val="11"/>
      <color rgb="FF7030A0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 val="singleAccounting"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0"/>
      <name val="Calibri"/>
      <family val="2"/>
      <scheme val="minor"/>
    </font>
    <font>
      <sz val="10"/>
      <name val="Segoe UI"/>
      <family val="2"/>
    </font>
  </fonts>
  <fills count="1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7F2FF"/>
        <bgColor rgb="FF000000"/>
      </patternFill>
    </fill>
    <fill>
      <patternFill patternType="solid">
        <fgColor rgb="FF000C3F"/>
        <bgColor rgb="FF132E57"/>
      </patternFill>
    </fill>
    <fill>
      <patternFill patternType="solid">
        <fgColor rgb="FFE7F2FF"/>
        <bgColor rgb="FF1E8496"/>
      </patternFill>
    </fill>
    <fill>
      <patternFill patternType="solid">
        <fgColor rgb="FFE7F2FF"/>
        <bgColor indexed="64"/>
      </patternFill>
    </fill>
    <fill>
      <patternFill patternType="solid">
        <fgColor rgb="FF000C3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1" fillId="0" borderId="0" applyNumberFormat="0" applyFill="0" applyBorder="0" applyAlignment="0" applyProtection="0"/>
  </cellStyleXfs>
  <cellXfs count="175">
    <xf numFmtId="0" fontId="0" fillId="0" borderId="0" xfId="0"/>
    <xf numFmtId="0" fontId="4" fillId="3" borderId="1" xfId="0" applyFont="1" applyFill="1" applyBorder="1" applyAlignment="1">
      <alignment vertical="center"/>
    </xf>
    <xf numFmtId="0" fontId="5" fillId="4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6" fillId="0" borderId="0" xfId="0" applyNumberFormat="1" applyFont="1"/>
    <xf numFmtId="164" fontId="7" fillId="0" borderId="0" xfId="0" applyNumberFormat="1" applyFont="1"/>
    <xf numFmtId="164" fontId="6" fillId="0" borderId="2" xfId="0" applyNumberFormat="1" applyFont="1" applyBorder="1"/>
    <xf numFmtId="164" fontId="7" fillId="0" borderId="3" xfId="0" applyNumberFormat="1" applyFont="1" applyBorder="1"/>
    <xf numFmtId="164" fontId="6" fillId="0" borderId="4" xfId="0" applyNumberFormat="1" applyFont="1" applyBorder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8" fillId="0" borderId="0" xfId="0" applyNumberFormat="1" applyFont="1"/>
    <xf numFmtId="164" fontId="9" fillId="0" borderId="0" xfId="0" applyNumberFormat="1" applyFont="1"/>
    <xf numFmtId="0" fontId="0" fillId="0" borderId="5" xfId="0" applyBorder="1"/>
    <xf numFmtId="164" fontId="12" fillId="0" borderId="0" xfId="0" applyNumberFormat="1" applyFont="1"/>
    <xf numFmtId="164" fontId="13" fillId="0" borderId="0" xfId="0" applyNumberFormat="1" applyFont="1"/>
    <xf numFmtId="164" fontId="14" fillId="0" borderId="0" xfId="0" applyNumberFormat="1" applyFont="1"/>
    <xf numFmtId="10" fontId="15" fillId="0" borderId="0" xfId="1" applyNumberFormat="1" applyFont="1"/>
    <xf numFmtId="164" fontId="16" fillId="0" borderId="0" xfId="0" applyNumberFormat="1" applyFont="1"/>
    <xf numFmtId="164" fontId="16" fillId="0" borderId="3" xfId="0" applyNumberFormat="1" applyFont="1" applyBorder="1"/>
    <xf numFmtId="164" fontId="6" fillId="0" borderId="6" xfId="0" applyNumberFormat="1" applyFont="1" applyBorder="1"/>
    <xf numFmtId="0" fontId="17" fillId="0" borderId="0" xfId="0" applyFont="1" applyAlignment="1">
      <alignment vertical="center"/>
    </xf>
    <xf numFmtId="164" fontId="15" fillId="0" borderId="5" xfId="0" applyNumberFormat="1" applyFont="1" applyBorder="1"/>
    <xf numFmtId="164" fontId="7" fillId="0" borderId="0" xfId="0" applyNumberFormat="1" applyFont="1" applyAlignment="1">
      <alignment horizontal="center"/>
    </xf>
    <xf numFmtId="164" fontId="7" fillId="0" borderId="2" xfId="0" applyNumberFormat="1" applyFont="1" applyBorder="1"/>
    <xf numFmtId="164" fontId="7" fillId="0" borderId="2" xfId="0" applyNumberFormat="1" applyFont="1" applyBorder="1" applyAlignment="1">
      <alignment horizontal="center"/>
    </xf>
    <xf numFmtId="164" fontId="3" fillId="0" borderId="0" xfId="0" applyNumberFormat="1" applyFont="1"/>
    <xf numFmtId="0" fontId="18" fillId="0" borderId="0" xfId="0" applyFont="1"/>
    <xf numFmtId="9" fontId="7" fillId="0" borderId="0" xfId="0" applyNumberFormat="1" applyFont="1"/>
    <xf numFmtId="164" fontId="19" fillId="5" borderId="0" xfId="0" applyNumberFormat="1" applyFont="1" applyFill="1"/>
    <xf numFmtId="164" fontId="7" fillId="5" borderId="0" xfId="0" applyNumberFormat="1" applyFont="1" applyFill="1"/>
    <xf numFmtId="164" fontId="7" fillId="5" borderId="0" xfId="0" applyNumberFormat="1" applyFont="1" applyFill="1" applyAlignment="1">
      <alignment horizontal="center"/>
    </xf>
    <xf numFmtId="164" fontId="23" fillId="5" borderId="0" xfId="0" applyNumberFormat="1" applyFont="1" applyFill="1"/>
    <xf numFmtId="164" fontId="24" fillId="5" borderId="0" xfId="0" applyNumberFormat="1" applyFont="1" applyFill="1"/>
    <xf numFmtId="164" fontId="24" fillId="5" borderId="0" xfId="0" applyNumberFormat="1" applyFont="1" applyFill="1" applyAlignment="1">
      <alignment horizontal="center"/>
    </xf>
    <xf numFmtId="0" fontId="25" fillId="6" borderId="0" xfId="0" applyFont="1" applyFill="1"/>
    <xf numFmtId="0" fontId="24" fillId="5" borderId="0" xfId="0" applyFont="1" applyFill="1"/>
    <xf numFmtId="164" fontId="26" fillId="0" borderId="0" xfId="0" applyNumberFormat="1" applyFont="1"/>
    <xf numFmtId="164" fontId="27" fillId="0" borderId="0" xfId="0" applyNumberFormat="1" applyFont="1"/>
    <xf numFmtId="164" fontId="27" fillId="0" borderId="0" xfId="0" applyNumberFormat="1" applyFont="1" applyAlignment="1">
      <alignment horizontal="center"/>
    </xf>
    <xf numFmtId="164" fontId="27" fillId="0" borderId="0" xfId="0" applyNumberFormat="1" applyFont="1" applyAlignment="1">
      <alignment horizontal="right"/>
    </xf>
    <xf numFmtId="164" fontId="6" fillId="0" borderId="2" xfId="0" applyNumberFormat="1" applyFont="1" applyBorder="1" applyAlignment="1">
      <alignment horizontal="center"/>
    </xf>
    <xf numFmtId="165" fontId="7" fillId="0" borderId="2" xfId="0" applyNumberFormat="1" applyFont="1" applyBorder="1"/>
    <xf numFmtId="165" fontId="16" fillId="0" borderId="2" xfId="0" applyNumberFormat="1" applyFont="1" applyBorder="1"/>
    <xf numFmtId="165" fontId="7" fillId="0" borderId="0" xfId="0" applyNumberFormat="1" applyFont="1"/>
    <xf numFmtId="165" fontId="16" fillId="0" borderId="0" xfId="0" applyNumberFormat="1" applyFont="1"/>
    <xf numFmtId="164" fontId="28" fillId="0" borderId="0" xfId="0" applyNumberFormat="1" applyFont="1"/>
    <xf numFmtId="164" fontId="28" fillId="0" borderId="0" xfId="0" applyNumberFormat="1" applyFont="1" applyAlignment="1">
      <alignment horizontal="center"/>
    </xf>
    <xf numFmtId="9" fontId="16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167" fontId="7" fillId="0" borderId="0" xfId="0" applyNumberFormat="1" applyFont="1"/>
    <xf numFmtId="9" fontId="12" fillId="0" borderId="0" xfId="0" applyNumberFormat="1" applyFont="1"/>
    <xf numFmtId="164" fontId="7" fillId="0" borderId="3" xfId="0" applyNumberFormat="1" applyFont="1" applyBorder="1" applyAlignment="1">
      <alignment horizontal="center"/>
    </xf>
    <xf numFmtId="164" fontId="6" fillId="0" borderId="4" xfId="0" applyNumberFormat="1" applyFont="1" applyBorder="1" applyAlignment="1">
      <alignment horizontal="center"/>
    </xf>
    <xf numFmtId="168" fontId="7" fillId="0" borderId="0" xfId="0" applyNumberFormat="1" applyFont="1"/>
    <xf numFmtId="164" fontId="6" fillId="0" borderId="6" xfId="0" applyNumberFormat="1" applyFont="1" applyBorder="1" applyAlignment="1">
      <alignment horizontal="center"/>
    </xf>
    <xf numFmtId="169" fontId="28" fillId="0" borderId="0" xfId="0" applyNumberFormat="1" applyFont="1"/>
    <xf numFmtId="169" fontId="28" fillId="0" borderId="0" xfId="0" applyNumberFormat="1" applyFont="1" applyAlignment="1">
      <alignment horizontal="center"/>
    </xf>
    <xf numFmtId="0" fontId="10" fillId="0" borderId="0" xfId="0" applyFont="1" applyAlignment="1">
      <alignment horizontal="right" vertical="center"/>
    </xf>
    <xf numFmtId="9" fontId="10" fillId="0" borderId="0" xfId="0" applyNumberFormat="1" applyFont="1" applyAlignment="1">
      <alignment horizontal="right" vertical="center"/>
    </xf>
    <xf numFmtId="0" fontId="0" fillId="0" borderId="0" xfId="0" applyAlignment="1">
      <alignment horizontal="left"/>
    </xf>
    <xf numFmtId="0" fontId="2" fillId="9" borderId="0" xfId="0" applyFont="1" applyFill="1" applyAlignment="1">
      <alignment horizontal="center" vertical="center"/>
    </xf>
    <xf numFmtId="0" fontId="11" fillId="2" borderId="8" xfId="0" applyFont="1" applyFill="1" applyBorder="1" applyAlignment="1">
      <alignment horizontal="left" vertical="center"/>
    </xf>
    <xf numFmtId="9" fontId="10" fillId="2" borderId="8" xfId="0" applyNumberFormat="1" applyFont="1" applyFill="1" applyBorder="1" applyAlignment="1">
      <alignment horizontal="right" vertical="center"/>
    </xf>
    <xf numFmtId="164" fontId="0" fillId="0" borderId="5" xfId="0" applyNumberFormat="1" applyBorder="1"/>
    <xf numFmtId="164" fontId="0" fillId="0" borderId="0" xfId="0" applyNumberFormat="1"/>
    <xf numFmtId="166" fontId="0" fillId="0" borderId="0" xfId="0" applyNumberFormat="1"/>
    <xf numFmtId="164" fontId="3" fillId="0" borderId="2" xfId="0" applyNumberFormat="1" applyFont="1" applyBorder="1"/>
    <xf numFmtId="164" fontId="29" fillId="0" borderId="0" xfId="0" applyNumberFormat="1" applyFont="1"/>
    <xf numFmtId="164" fontId="15" fillId="0" borderId="0" xfId="0" applyNumberFormat="1" applyFont="1"/>
    <xf numFmtId="0" fontId="0" fillId="0" borderId="1" xfId="0" applyBorder="1"/>
    <xf numFmtId="164" fontId="29" fillId="0" borderId="1" xfId="0" applyNumberFormat="1" applyFont="1" applyBorder="1"/>
    <xf numFmtId="0" fontId="0" fillId="0" borderId="9" xfId="0" applyBorder="1"/>
    <xf numFmtId="164" fontId="14" fillId="0" borderId="9" xfId="0" applyNumberFormat="1" applyFont="1" applyBorder="1"/>
    <xf numFmtId="0" fontId="0" fillId="2" borderId="0" xfId="0" applyFill="1"/>
    <xf numFmtId="164" fontId="15" fillId="0" borderId="9" xfId="0" applyNumberFormat="1" applyFont="1" applyBorder="1"/>
    <xf numFmtId="0" fontId="0" fillId="2" borderId="1" xfId="0" applyFill="1" applyBorder="1"/>
    <xf numFmtId="10" fontId="1" fillId="0" borderId="0" xfId="1" applyNumberFormat="1" applyFont="1"/>
    <xf numFmtId="164" fontId="3" fillId="10" borderId="5" xfId="0" applyNumberFormat="1" applyFont="1" applyFill="1" applyBorder="1"/>
    <xf numFmtId="0" fontId="0" fillId="10" borderId="5" xfId="0" applyFill="1" applyBorder="1" applyAlignment="1">
      <alignment horizontal="center"/>
    </xf>
    <xf numFmtId="0" fontId="0" fillId="10" borderId="5" xfId="0" applyFill="1" applyBorder="1"/>
    <xf numFmtId="164" fontId="15" fillId="10" borderId="5" xfId="0" applyNumberFormat="1" applyFont="1" applyFill="1" applyBorder="1"/>
    <xf numFmtId="9" fontId="0" fillId="2" borderId="0" xfId="0" applyNumberFormat="1" applyFill="1"/>
    <xf numFmtId="0" fontId="3" fillId="0" borderId="0" xfId="0" applyFont="1"/>
    <xf numFmtId="0" fontId="30" fillId="0" borderId="0" xfId="0" applyFont="1"/>
    <xf numFmtId="0" fontId="31" fillId="0" borderId="0" xfId="2" applyBorder="1"/>
    <xf numFmtId="0" fontId="3" fillId="0" borderId="1" xfId="0" applyFont="1" applyBorder="1"/>
    <xf numFmtId="0" fontId="30" fillId="0" borderId="1" xfId="0" applyFont="1" applyBorder="1"/>
    <xf numFmtId="0" fontId="31" fillId="0" borderId="1" xfId="2" applyBorder="1"/>
    <xf numFmtId="0" fontId="3" fillId="0" borderId="0" xfId="0" applyFont="1" applyAlignment="1">
      <alignment horizontal="left"/>
    </xf>
    <xf numFmtId="10" fontId="0" fillId="0" borderId="1" xfId="0" applyNumberFormat="1" applyBorder="1"/>
    <xf numFmtId="165" fontId="0" fillId="2" borderId="0" xfId="1" applyNumberFormat="1" applyFont="1" applyFill="1"/>
    <xf numFmtId="0" fontId="32" fillId="0" borderId="10" xfId="0" applyFont="1" applyBorder="1"/>
    <xf numFmtId="0" fontId="0" fillId="0" borderId="11" xfId="0" applyBorder="1"/>
    <xf numFmtId="0" fontId="0" fillId="0" borderId="12" xfId="0" applyBorder="1"/>
    <xf numFmtId="0" fontId="3" fillId="0" borderId="13" xfId="0" applyFont="1" applyBorder="1"/>
    <xf numFmtId="0" fontId="0" fillId="0" borderId="14" xfId="0" applyBorder="1"/>
    <xf numFmtId="0" fontId="0" fillId="0" borderId="13" xfId="0" applyBorder="1"/>
    <xf numFmtId="0" fontId="0" fillId="0" borderId="15" xfId="0" applyBorder="1"/>
    <xf numFmtId="0" fontId="0" fillId="0" borderId="16" xfId="0" applyBorder="1"/>
    <xf numFmtId="0" fontId="3" fillId="0" borderId="13" xfId="0" applyFont="1" applyBorder="1" applyAlignment="1">
      <alignment horizontal="left"/>
    </xf>
    <xf numFmtId="10" fontId="29" fillId="0" borderId="0" xfId="0" applyNumberFormat="1" applyFont="1" applyAlignment="1">
      <alignment horizontal="center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3" fillId="0" borderId="20" xfId="0" applyFont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10" fontId="0" fillId="0" borderId="0" xfId="0" applyNumberForma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8" xfId="0" applyFont="1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0" fillId="0" borderId="21" xfId="0" applyBorder="1"/>
    <xf numFmtId="0" fontId="3" fillId="0" borderId="14" xfId="0" applyFont="1" applyBorder="1" applyAlignment="1">
      <alignment horizontal="center"/>
    </xf>
    <xf numFmtId="10" fontId="0" fillId="0" borderId="14" xfId="0" applyNumberFormat="1" applyBorder="1"/>
    <xf numFmtId="10" fontId="0" fillId="0" borderId="16" xfId="0" applyNumberFormat="1" applyBorder="1"/>
    <xf numFmtId="0" fontId="3" fillId="0" borderId="14" xfId="0" applyFont="1" applyBorder="1" applyAlignment="1">
      <alignment horizontal="center" vertical="center" wrapText="1"/>
    </xf>
    <xf numFmtId="0" fontId="0" fillId="0" borderId="14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3" fillId="0" borderId="20" xfId="0" applyFont="1" applyBorder="1" applyAlignment="1">
      <alignment horizontal="left"/>
    </xf>
    <xf numFmtId="0" fontId="0" fillId="0" borderId="9" xfId="0" applyBorder="1" applyAlignment="1">
      <alignment vertical="center" wrapText="1"/>
    </xf>
    <xf numFmtId="0" fontId="0" fillId="0" borderId="21" xfId="0" applyBorder="1" applyAlignment="1">
      <alignment vertical="center" wrapText="1"/>
    </xf>
    <xf numFmtId="10" fontId="0" fillId="2" borderId="0" xfId="0" applyNumberFormat="1" applyFill="1"/>
    <xf numFmtId="166" fontId="0" fillId="10" borderId="5" xfId="0" applyNumberFormat="1" applyFill="1" applyBorder="1"/>
    <xf numFmtId="0" fontId="30" fillId="2" borderId="0" xfId="0" applyFont="1" applyFill="1"/>
    <xf numFmtId="0" fontId="0" fillId="11" borderId="5" xfId="0" applyFill="1" applyBorder="1"/>
    <xf numFmtId="164" fontId="15" fillId="11" borderId="5" xfId="0" applyNumberFormat="1" applyFont="1" applyFill="1" applyBorder="1"/>
    <xf numFmtId="164" fontId="3" fillId="11" borderId="7" xfId="0" applyNumberFormat="1" applyFont="1" applyFill="1" applyBorder="1"/>
    <xf numFmtId="0" fontId="0" fillId="11" borderId="7" xfId="0" applyFill="1" applyBorder="1"/>
    <xf numFmtId="0" fontId="0" fillId="0" borderId="0" xfId="0" applyAlignment="1">
      <alignment vertical="center"/>
    </xf>
    <xf numFmtId="164" fontId="33" fillId="0" borderId="0" xfId="0" applyNumberFormat="1" applyFont="1" applyAlignment="1">
      <alignment horizontal="left"/>
    </xf>
    <xf numFmtId="164" fontId="0" fillId="0" borderId="9" xfId="0" applyNumberFormat="1" applyBorder="1"/>
    <xf numFmtId="0" fontId="34" fillId="0" borderId="0" xfId="0" applyFont="1" applyAlignment="1">
      <alignment vertical="center"/>
    </xf>
    <xf numFmtId="0" fontId="0" fillId="11" borderId="5" xfId="0" applyFill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11" borderId="7" xfId="0" applyFill="1" applyBorder="1" applyAlignment="1">
      <alignment vertical="center"/>
    </xf>
    <xf numFmtId="164" fontId="3" fillId="11" borderId="5" xfId="0" applyNumberFormat="1" applyFont="1" applyFill="1" applyBorder="1" applyAlignment="1">
      <alignment horizontal="left"/>
    </xf>
    <xf numFmtId="164" fontId="3" fillId="0" borderId="0" xfId="0" applyNumberFormat="1" applyFont="1" applyAlignment="1">
      <alignment horizontal="left"/>
    </xf>
    <xf numFmtId="164" fontId="3" fillId="0" borderId="5" xfId="0" applyNumberFormat="1" applyFont="1" applyBorder="1" applyAlignment="1">
      <alignment horizontal="left"/>
    </xf>
    <xf numFmtId="164" fontId="3" fillId="0" borderId="9" xfId="0" applyNumberFormat="1" applyFont="1" applyBorder="1" applyAlignment="1">
      <alignment horizontal="left"/>
    </xf>
    <xf numFmtId="164" fontId="3" fillId="11" borderId="7" xfId="0" applyNumberFormat="1" applyFont="1" applyFill="1" applyBorder="1" applyAlignment="1">
      <alignment horizontal="left"/>
    </xf>
    <xf numFmtId="0" fontId="17" fillId="0" borderId="0" xfId="0" applyFont="1" applyAlignment="1">
      <alignment horizontal="left"/>
    </xf>
    <xf numFmtId="0" fontId="3" fillId="0" borderId="5" xfId="0" applyFont="1" applyBorder="1"/>
    <xf numFmtId="164" fontId="14" fillId="0" borderId="5" xfId="0" applyNumberFormat="1" applyFont="1" applyBorder="1"/>
    <xf numFmtId="164" fontId="14" fillId="10" borderId="5" xfId="0" applyNumberFormat="1" applyFont="1" applyFill="1" applyBorder="1"/>
    <xf numFmtId="164" fontId="3" fillId="0" borderId="9" xfId="0" applyNumberFormat="1" applyFont="1" applyBorder="1"/>
    <xf numFmtId="0" fontId="34" fillId="0" borderId="0" xfId="0" applyFont="1"/>
    <xf numFmtId="164" fontId="14" fillId="0" borderId="1" xfId="0" applyNumberFormat="1" applyFont="1" applyBorder="1"/>
    <xf numFmtId="164" fontId="0" fillId="0" borderId="1" xfId="0" applyNumberFormat="1" applyBorder="1"/>
    <xf numFmtId="0" fontId="3" fillId="0" borderId="1" xfId="0" applyFont="1" applyBorder="1" applyAlignment="1">
      <alignment horizontal="center" vertical="center"/>
    </xf>
    <xf numFmtId="164" fontId="20" fillId="6" borderId="0" xfId="0" applyNumberFormat="1" applyFont="1" applyFill="1" applyAlignment="1">
      <alignment horizontal="center"/>
    </xf>
    <xf numFmtId="0" fontId="21" fillId="7" borderId="0" xfId="0" applyFont="1" applyFill="1"/>
    <xf numFmtId="164" fontId="22" fillId="5" borderId="0" xfId="0" applyNumberFormat="1" applyFont="1" applyFill="1" applyAlignment="1">
      <alignment horizontal="center"/>
    </xf>
    <xf numFmtId="0" fontId="21" fillId="8" borderId="0" xfId="0" applyFont="1" applyFill="1"/>
    <xf numFmtId="0" fontId="0" fillId="0" borderId="0" xfId="0" applyBorder="1"/>
    <xf numFmtId="0" fontId="0" fillId="0" borderId="0" xfId="0" applyFill="1"/>
    <xf numFmtId="0" fontId="0" fillId="0" borderId="0" xfId="0" applyFill="1" applyAlignment="1">
      <alignment horizontal="left"/>
    </xf>
    <xf numFmtId="0" fontId="0" fillId="0" borderId="0" xfId="0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12" borderId="0" xfId="0" applyFont="1" applyFill="1" applyBorder="1"/>
    <xf numFmtId="164" fontId="2" fillId="12" borderId="0" xfId="0" applyNumberFormat="1" applyFont="1" applyFill="1" applyBorder="1"/>
    <xf numFmtId="164" fontId="2" fillId="12" borderId="1" xfId="0" applyNumberFormat="1" applyFont="1" applyFill="1" applyBorder="1"/>
    <xf numFmtId="0" fontId="37" fillId="12" borderId="1" xfId="0" applyFont="1" applyFill="1" applyBorder="1"/>
    <xf numFmtId="164" fontId="37" fillId="12" borderId="1" xfId="0" applyNumberFormat="1" applyFont="1" applyFill="1" applyBorder="1"/>
    <xf numFmtId="164" fontId="0" fillId="10" borderId="0" xfId="0" applyNumberFormat="1" applyFill="1"/>
    <xf numFmtId="0" fontId="0" fillId="10" borderId="0" xfId="0" applyFill="1"/>
    <xf numFmtId="10" fontId="38" fillId="0" borderId="0" xfId="1" applyNumberFormat="1" applyFont="1" applyAlignment="1">
      <alignment horizontal="center" vertical="center"/>
    </xf>
    <xf numFmtId="10" fontId="38" fillId="0" borderId="0" xfId="0" applyNumberFormat="1" applyFont="1" applyAlignment="1">
      <alignment horizontal="center" vertical="center"/>
    </xf>
    <xf numFmtId="176" fontId="16" fillId="0" borderId="0" xfId="0" applyNumberFormat="1" applyFont="1"/>
    <xf numFmtId="9" fontId="0" fillId="2" borderId="0" xfId="0" applyNumberFormat="1" applyFill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3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none"/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Margins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'Ratio Analysis'!$B$7:$C$7</c:f>
              <c:strCache>
                <c:ptCount val="2"/>
                <c:pt idx="0">
                  <c:v>Gross Margin</c:v>
                </c:pt>
                <c:pt idx="1">
                  <c:v>Pricing power + cost efficiency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'Ratio Analysis'!$D$7:$N$7</c:f>
              <c:numCache>
                <c:formatCode>0.00%</c:formatCode>
                <c:ptCount val="10"/>
                <c:pt idx="0">
                  <c:v>0.53617486598599839</c:v>
                </c:pt>
                <c:pt idx="1">
                  <c:v>0.62793653746289368</c:v>
                </c:pt>
                <c:pt idx="2">
                  <c:v>0.65627339710173327</c:v>
                </c:pt>
                <c:pt idx="3">
                  <c:v>0.62638984481987892</c:v>
                </c:pt>
                <c:pt idx="4">
                  <c:v>0.57205490616298282</c:v>
                </c:pt>
                <c:pt idx="5">
                  <c:v>0.628</c:v>
                </c:pt>
                <c:pt idx="6">
                  <c:v>0.628</c:v>
                </c:pt>
                <c:pt idx="7">
                  <c:v>0.628</c:v>
                </c:pt>
                <c:pt idx="8">
                  <c:v>0.628</c:v>
                </c:pt>
                <c:pt idx="9">
                  <c:v>0.628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1B-4DCF-9E7F-690D3FF6E871}"/>
            </c:ext>
          </c:extLst>
        </c:ser>
        <c:ser>
          <c:idx val="1"/>
          <c:order val="1"/>
          <c:tx>
            <c:strRef>
              <c:f>'Ratio Analysis'!$B$8:$C$8</c:f>
              <c:strCache>
                <c:ptCount val="2"/>
                <c:pt idx="0">
                  <c:v>EBITDA Margin</c:v>
                </c:pt>
                <c:pt idx="1">
                  <c:v>Core operating profitability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'Ratio Analysis'!$D$8:$N$8</c:f>
              <c:numCache>
                <c:formatCode>0.00%</c:formatCode>
                <c:ptCount val="10"/>
                <c:pt idx="0">
                  <c:v>9.1759476067654791E-2</c:v>
                </c:pt>
                <c:pt idx="1">
                  <c:v>0.37384611807380191</c:v>
                </c:pt>
                <c:pt idx="2">
                  <c:v>0.41865330655713617</c:v>
                </c:pt>
                <c:pt idx="3">
                  <c:v>0.38498435426763072</c:v>
                </c:pt>
                <c:pt idx="4">
                  <c:v>0.29543379340009207</c:v>
                </c:pt>
                <c:pt idx="5">
                  <c:v>0.38799999999999996</c:v>
                </c:pt>
                <c:pt idx="6">
                  <c:v>0.38799999999999996</c:v>
                </c:pt>
                <c:pt idx="7">
                  <c:v>0.38799999999999996</c:v>
                </c:pt>
                <c:pt idx="8">
                  <c:v>0.38800000000000001</c:v>
                </c:pt>
                <c:pt idx="9">
                  <c:v>0.38800000000000007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1B-4DCF-9E7F-690D3FF6E871}"/>
            </c:ext>
          </c:extLst>
        </c:ser>
        <c:ser>
          <c:idx val="2"/>
          <c:order val="2"/>
          <c:tx>
            <c:strRef>
              <c:f>'Ratio Analysis'!$B$9:$C$9</c:f>
              <c:strCache>
                <c:ptCount val="2"/>
                <c:pt idx="0">
                  <c:v>EBIT Margin</c:v>
                </c:pt>
                <c:pt idx="1">
                  <c:v>Operating efficiency after depreciation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'Ratio Analysis'!$D$9:$N$9</c:f>
              <c:numCache>
                <c:formatCode>0.00%</c:formatCode>
                <c:ptCount val="10"/>
                <c:pt idx="0">
                  <c:v>-0.14001640260064421</c:v>
                </c:pt>
                <c:pt idx="1">
                  <c:v>0.23317134419978144</c:v>
                </c:pt>
                <c:pt idx="2">
                  <c:v>0.2982653782371093</c:v>
                </c:pt>
                <c:pt idx="3">
                  <c:v>0.26759524029148601</c:v>
                </c:pt>
                <c:pt idx="4">
                  <c:v>0.17409087135990101</c:v>
                </c:pt>
                <c:pt idx="5">
                  <c:v>0.27713163497542137</c:v>
                </c:pt>
                <c:pt idx="6">
                  <c:v>0.28601143901823378</c:v>
                </c:pt>
                <c:pt idx="7">
                  <c:v>0.29401626093195998</c:v>
                </c:pt>
                <c:pt idx="8">
                  <c:v>0.30116466939762015</c:v>
                </c:pt>
                <c:pt idx="9">
                  <c:v>0.30764100883382733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1B-4DCF-9E7F-690D3FF6E871}"/>
            </c:ext>
          </c:extLst>
        </c:ser>
        <c:ser>
          <c:idx val="3"/>
          <c:order val="3"/>
          <c:tx>
            <c:strRef>
              <c:f>'Ratio Analysis'!$B$10:$C$10</c:f>
              <c:strCache>
                <c:ptCount val="2"/>
                <c:pt idx="0">
                  <c:v>Net Profit Margin</c:v>
                </c:pt>
                <c:pt idx="1">
                  <c:v>Final profit retained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trendline>
            <c:spPr>
              <a:ln w="6350" cap="flat" cmpd="sng" algn="ctr">
                <a:solidFill>
                  <a:schemeClr val="dk1"/>
                </a:solidFill>
                <a:prstDash val="solid"/>
                <a:miter lim="800000"/>
              </a:ln>
              <a:effectLst/>
            </c:spPr>
            <c:trendlineType val="linear"/>
            <c:dispRSqr val="0"/>
            <c:dispEq val="0"/>
          </c:trendline>
          <c:val>
            <c:numRef>
              <c:f>'Ratio Analysis'!$D$10:$N$10</c:f>
              <c:numCache>
                <c:formatCode>0.00%</c:formatCode>
                <c:ptCount val="10"/>
                <c:pt idx="0">
                  <c:v>-0.11881188118811881</c:v>
                </c:pt>
                <c:pt idx="1">
                  <c:v>0.15101262585160558</c:v>
                </c:pt>
                <c:pt idx="2">
                  <c:v>0.19898959506832828</c:v>
                </c:pt>
                <c:pt idx="3">
                  <c:v>0.17862459466555028</c:v>
                </c:pt>
                <c:pt idx="4">
                  <c:v>0.11394009825154508</c:v>
                </c:pt>
                <c:pt idx="5">
                  <c:v>0.1864817068520977</c:v>
                </c:pt>
                <c:pt idx="6">
                  <c:v>0.19306880804404</c:v>
                </c:pt>
                <c:pt idx="7">
                  <c:v>0.19900566361641045</c:v>
                </c:pt>
                <c:pt idx="8">
                  <c:v>0.20430261878315562</c:v>
                </c:pt>
                <c:pt idx="9">
                  <c:v>0.2090985624263102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11B-4DCF-9E7F-690D3FF6E871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0145032"/>
        <c:axId val="830140352"/>
      </c:barChart>
      <c:catAx>
        <c:axId val="830145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140352"/>
        <c:crosses val="autoZero"/>
        <c:auto val="1"/>
        <c:lblAlgn val="ctr"/>
        <c:lblOffset val="100"/>
        <c:noMultiLvlLbl val="0"/>
      </c:catAx>
      <c:valAx>
        <c:axId val="83014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145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1" i="0">
                <a:solidFill>
                  <a:srgbClr val="757575"/>
                </a:solidFill>
                <a:latin typeface="+mn-lt"/>
              </a:defRPr>
            </a:pPr>
            <a:r>
              <a:rPr lang="en-CA" sz="1400" b="1" i="0">
                <a:solidFill>
                  <a:srgbClr val="757575"/>
                </a:solidFill>
                <a:latin typeface="+mn-lt"/>
              </a:rPr>
              <a:t>Revenue &amp; Gross Profit Margin</a:t>
            </a:r>
          </a:p>
        </c:rich>
      </c:tx>
      <c:layout>
        <c:manualLayout>
          <c:xMode val="edge"/>
          <c:yMode val="edge"/>
          <c:x val="0.25405555555555548"/>
          <c:y val="2.777777777777777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3214371079432063"/>
          <c:y val="0.1056544562364487"/>
          <c:w val="0.7707335929414052"/>
          <c:h val="0.69457796036365027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'[1]Three Statement Model'!$A$112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3271D2"/>
            </a:solidFill>
            <a:ln cmpd="sng">
              <a:noFill/>
            </a:ln>
          </c:spPr>
          <c:invertIfNegative val="1"/>
          <c:cat>
            <c:numRef>
              <c:f>'[1]Three Statement Model'!$D$2:$M$2</c:f>
              <c:numCache>
                <c:formatCode>General</c:formatCode>
                <c:ptCount val="10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</c:numCache>
            </c:numRef>
          </c:cat>
          <c:val>
            <c:numRef>
              <c:f>'[1]Three Statement Model'!$D$112:$M$112</c:f>
              <c:numCache>
                <c:formatCode>General</c:formatCode>
                <c:ptCount val="10"/>
                <c:pt idx="0">
                  <c:v>102007</c:v>
                </c:pt>
                <c:pt idx="1">
                  <c:v>118086</c:v>
                </c:pt>
                <c:pt idx="2">
                  <c:v>131345</c:v>
                </c:pt>
                <c:pt idx="3">
                  <c:v>142341</c:v>
                </c:pt>
                <c:pt idx="4">
                  <c:v>150772</c:v>
                </c:pt>
                <c:pt idx="5">
                  <c:v>165849.20000000001</c:v>
                </c:pt>
                <c:pt idx="6">
                  <c:v>182434.12000000002</c:v>
                </c:pt>
                <c:pt idx="7">
                  <c:v>200677.53200000004</c:v>
                </c:pt>
                <c:pt idx="8">
                  <c:v>220745.28520000007</c:v>
                </c:pt>
                <c:pt idx="9">
                  <c:v>242819.81372000009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774-4BB6-9E8F-26926243FC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347515175"/>
        <c:axId val="713451283"/>
      </c:barChart>
      <c:lineChart>
        <c:grouping val="standard"/>
        <c:varyColors val="1"/>
        <c:ser>
          <c:idx val="1"/>
          <c:order val="1"/>
          <c:tx>
            <c:strRef>
              <c:f>'[1]Three Statement Model'!$A$113</c:f>
              <c:strCache>
                <c:ptCount val="1"/>
                <c:pt idx="0">
                  <c:v>Gross Profit Margin (%)</c:v>
                </c:pt>
              </c:strCache>
            </c:strRef>
          </c:tx>
          <c:marker>
            <c:symbol val="none"/>
          </c:marker>
          <c:val>
            <c:numRef>
              <c:f>'[1]Three Statement Model'!$D$113:$M$113</c:f>
              <c:numCache>
                <c:formatCode>General</c:formatCode>
                <c:ptCount val="10"/>
                <c:pt idx="0">
                  <c:v>0.61744782220827987</c:v>
                </c:pt>
                <c:pt idx="1">
                  <c:v>0.59348271598665381</c:v>
                </c:pt>
                <c:pt idx="2">
                  <c:v>0.62600022840610603</c:v>
                </c:pt>
                <c:pt idx="3">
                  <c:v>0.63008549890755294</c:v>
                </c:pt>
                <c:pt idx="4">
                  <c:v>0.62386915342371263</c:v>
                </c:pt>
                <c:pt idx="5">
                  <c:v>0.57999999999999996</c:v>
                </c:pt>
                <c:pt idx="6">
                  <c:v>0.53</c:v>
                </c:pt>
                <c:pt idx="7">
                  <c:v>0.5</c:v>
                </c:pt>
                <c:pt idx="8">
                  <c:v>0.64</c:v>
                </c:pt>
                <c:pt idx="9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74-4BB6-9E8F-26926243FC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7133744"/>
        <c:axId val="397132784"/>
      </c:lineChart>
      <c:catAx>
        <c:axId val="13475151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CA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13451283"/>
        <c:crosses val="autoZero"/>
        <c:auto val="1"/>
        <c:lblAlgn val="ctr"/>
        <c:lblOffset val="100"/>
        <c:noMultiLvlLbl val="1"/>
      </c:catAx>
      <c:valAx>
        <c:axId val="71345128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CA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47515175"/>
        <c:crosses val="autoZero"/>
        <c:crossBetween val="between"/>
        <c:dispUnits>
          <c:builtInUnit val="thousands"/>
          <c:dispUnitsLbl/>
        </c:dispUnits>
      </c:valAx>
      <c:valAx>
        <c:axId val="397132784"/>
        <c:scaling>
          <c:orientation val="minMax"/>
          <c:max val="1"/>
        </c:scaling>
        <c:delete val="0"/>
        <c:axPos val="r"/>
        <c:numFmt formatCode="General" sourceLinked="1"/>
        <c:majorTickMark val="out"/>
        <c:minorTickMark val="none"/>
        <c:tickLblPos val="nextTo"/>
        <c:crossAx val="397133744"/>
        <c:crosses val="max"/>
        <c:crossBetween val="between"/>
      </c:valAx>
      <c:catAx>
        <c:axId val="397133744"/>
        <c:scaling>
          <c:orientation val="minMax"/>
        </c:scaling>
        <c:delete val="1"/>
        <c:axPos val="b"/>
        <c:majorTickMark val="out"/>
        <c:minorTickMark val="none"/>
        <c:tickLblPos val="nextTo"/>
        <c:crossAx val="397132784"/>
        <c:crosses val="autoZero"/>
        <c:auto val="1"/>
        <c:lblAlgn val="ctr"/>
        <c:lblOffset val="100"/>
        <c:noMultiLvlLbl val="0"/>
      </c:catAx>
    </c:plotArea>
    <c:legend>
      <c:legendPos val="b"/>
      <c:overlay val="0"/>
    </c:legend>
    <c:plotVisOnly val="1"/>
    <c:dispBlanksAs val="zero"/>
    <c:showDLblsOverMax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1" i="0">
                <a:solidFill>
                  <a:srgbClr val="757575"/>
                </a:solidFill>
                <a:latin typeface="+mn-lt"/>
              </a:defRPr>
            </a:pPr>
            <a:r>
              <a:rPr lang="en-CA" sz="1400" b="1" i="0">
                <a:solidFill>
                  <a:srgbClr val="757575"/>
                </a:solidFill>
                <a:latin typeface="+mn-lt"/>
              </a:rPr>
              <a:t>Cash Flow</a:t>
            </a:r>
          </a:p>
        </c:rich>
      </c:tx>
      <c:layout>
        <c:manualLayout>
          <c:xMode val="edge"/>
          <c:yMode val="edge"/>
          <c:x val="0.50641951006124231"/>
          <c:y val="9.058161208109856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0827063283756198"/>
          <c:y val="8.2505991098938719E-2"/>
          <c:w val="0.76735564304461945"/>
          <c:h val="0.68390961999315303"/>
        </c:manualLayout>
      </c:layout>
      <c:barChart>
        <c:barDir val="col"/>
        <c:grouping val="stacked"/>
        <c:varyColors val="1"/>
        <c:ser>
          <c:idx val="1"/>
          <c:order val="0"/>
          <c:tx>
            <c:strRef>
              <c:f>'[1]Three Statement Model'!$A$115</c:f>
              <c:strCache>
                <c:ptCount val="1"/>
                <c:pt idx="0">
                  <c:v>Operating Cash Flow</c:v>
                </c:pt>
              </c:strCache>
            </c:strRef>
          </c:tx>
          <c:spPr>
            <a:solidFill>
              <a:srgbClr val="3271D2"/>
            </a:solidFill>
          </c:spPr>
          <c:invertIfNegative val="1"/>
          <c:cat>
            <c:numRef>
              <c:f>'[1]Three Statement Model'!$D$2:$M$2</c:f>
              <c:numCache>
                <c:formatCode>General</c:formatCode>
                <c:ptCount val="10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</c:numCache>
            </c:numRef>
          </c:cat>
          <c:val>
            <c:numRef>
              <c:f>'[1]Three Statement Model'!$D$115:$M$115</c:f>
              <c:numCache>
                <c:formatCode>General</c:formatCode>
                <c:ptCount val="10"/>
                <c:pt idx="0">
                  <c:v>12971</c:v>
                </c:pt>
                <c:pt idx="1">
                  <c:v>28239</c:v>
                </c:pt>
                <c:pt idx="2">
                  <c:v>37505</c:v>
                </c:pt>
                <c:pt idx="3">
                  <c:v>42355</c:v>
                </c:pt>
                <c:pt idx="4">
                  <c:v>43479</c:v>
                </c:pt>
                <c:pt idx="5">
                  <c:v>5400.8075627397266</c:v>
                </c:pt>
                <c:pt idx="6">
                  <c:v>-5.1875256438343058</c:v>
                </c:pt>
                <c:pt idx="7">
                  <c:v>-1710.8084176411012</c:v>
                </c:pt>
                <c:pt idx="8">
                  <c:v>32030.025182652756</c:v>
                </c:pt>
                <c:pt idx="9">
                  <c:v>33942.896095820623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4C47-4F4E-88BF-FD4FBD965AB9}"/>
            </c:ext>
          </c:extLst>
        </c:ser>
        <c:ser>
          <c:idx val="0"/>
          <c:order val="1"/>
          <c:tx>
            <c:strRef>
              <c:f>'[1]Three Statement Model'!$A$116</c:f>
              <c:strCache>
                <c:ptCount val="1"/>
                <c:pt idx="0">
                  <c:v>Investing Cash Flow</c:v>
                </c:pt>
              </c:strCache>
            </c:strRef>
          </c:tx>
          <c:spPr>
            <a:solidFill>
              <a:srgbClr val="000C3F"/>
            </a:solidFill>
          </c:spPr>
          <c:invertIfNegative val="0"/>
          <c:val>
            <c:numRef>
              <c:f>'[1]Three Statement Model'!$D$116:$M$116</c:f>
              <c:numCache>
                <c:formatCode>General</c:formatCode>
                <c:ptCount val="10"/>
                <c:pt idx="0">
                  <c:v>-15000</c:v>
                </c:pt>
                <c:pt idx="1">
                  <c:v>-15000</c:v>
                </c:pt>
                <c:pt idx="2">
                  <c:v>-15000</c:v>
                </c:pt>
                <c:pt idx="3">
                  <c:v>-15000</c:v>
                </c:pt>
                <c:pt idx="4">
                  <c:v>-15000</c:v>
                </c:pt>
                <c:pt idx="5">
                  <c:v>-15000</c:v>
                </c:pt>
                <c:pt idx="6">
                  <c:v>-15000</c:v>
                </c:pt>
                <c:pt idx="7">
                  <c:v>-15000</c:v>
                </c:pt>
                <c:pt idx="8">
                  <c:v>-15000</c:v>
                </c:pt>
                <c:pt idx="9">
                  <c:v>-15000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47-4F4E-88BF-FD4FBD965AB9}"/>
            </c:ext>
          </c:extLst>
        </c:ser>
        <c:ser>
          <c:idx val="2"/>
          <c:order val="2"/>
          <c:tx>
            <c:strRef>
              <c:f>'[1]Three Statement Model'!$A$117</c:f>
              <c:strCache>
                <c:ptCount val="1"/>
                <c:pt idx="0">
                  <c:v>Financing Cash Flow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</c:spPr>
          <c:invertIfNegative val="0"/>
          <c:val>
            <c:numRef>
              <c:f>'[1]Three Statement Model'!$D$117:$M$117</c:f>
              <c:numCache>
                <c:formatCode>General</c:formatCode>
                <c:ptCount val="10"/>
                <c:pt idx="0">
                  <c:v>70000</c:v>
                </c:pt>
                <c:pt idx="1">
                  <c:v>0</c:v>
                </c:pt>
                <c:pt idx="2">
                  <c:v>-20000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-20000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47-4F4E-88BF-FD4FBD965A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25398482"/>
        <c:axId val="1129587394"/>
      </c:barChart>
      <c:catAx>
        <c:axId val="9253984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CA"/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29587394"/>
        <c:crosses val="autoZero"/>
        <c:auto val="1"/>
        <c:lblAlgn val="ctr"/>
        <c:lblOffset val="100"/>
        <c:noMultiLvlLbl val="1"/>
      </c:catAx>
      <c:valAx>
        <c:axId val="112958739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CA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25398482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 rt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https://corporatefinanceinstitute.com/" TargetMode="Externa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603738</xdr:colOff>
      <xdr:row>1</xdr:row>
      <xdr:rowOff>120695</xdr:rowOff>
    </xdr:from>
    <xdr:to>
      <xdr:col>32</xdr:col>
      <xdr:colOff>50622</xdr:colOff>
      <xdr:row>16</xdr:row>
      <xdr:rowOff>22648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69B59EA-062E-77B4-FA42-83BFD4004C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134937</xdr:colOff>
      <xdr:row>118</xdr:row>
      <xdr:rowOff>165099</xdr:rowOff>
    </xdr:from>
    <xdr:ext cx="4371975" cy="26289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74F11D-0D16-4D77-8C75-4EBC5E0121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430530</xdr:colOff>
      <xdr:row>118</xdr:row>
      <xdr:rowOff>190500</xdr:rowOff>
    </xdr:from>
    <xdr:ext cx="5486400" cy="26289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974F87F-D412-4031-B6A2-F6117E7FC9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twoCellAnchor editAs="oneCell">
    <xdr:from>
      <xdr:col>0</xdr:col>
      <xdr:colOff>142875</xdr:colOff>
      <xdr:row>0</xdr:row>
      <xdr:rowOff>85725</xdr:rowOff>
    </xdr:from>
    <xdr:to>
      <xdr:col>2</xdr:col>
      <xdr:colOff>357597</xdr:colOff>
      <xdr:row>1</xdr:row>
      <xdr:rowOff>255082</xdr:rowOff>
    </xdr:to>
    <xdr:pic>
      <xdr:nvPicPr>
        <xdr:cNvPr id="4" name="Pictur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8F1CD50-CB4C-4C1B-B326-B0E66133DC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85725"/>
          <a:ext cx="1190082" cy="35223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enovo%20e14/Downloads/CFI-Case-Study-Three-Statement-Mod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Page"/>
      <sheetName val="Three Statement Model"/>
    </sheetNames>
    <sheetDataSet>
      <sheetData sheetId="0"/>
      <sheetData sheetId="1">
        <row r="2">
          <cell r="D2">
            <v>2020</v>
          </cell>
          <cell r="E2">
            <v>2021</v>
          </cell>
          <cell r="F2">
            <v>2022</v>
          </cell>
          <cell r="G2">
            <v>2023</v>
          </cell>
          <cell r="H2">
            <v>2024</v>
          </cell>
          <cell r="I2">
            <v>2025</v>
          </cell>
          <cell r="J2">
            <v>2026</v>
          </cell>
          <cell r="K2">
            <v>2027</v>
          </cell>
          <cell r="L2">
            <v>2028</v>
          </cell>
          <cell r="M2">
            <v>2029</v>
          </cell>
        </row>
        <row r="112">
          <cell r="A112" t="str">
            <v>Revenue</v>
          </cell>
          <cell r="D112">
            <v>102007</v>
          </cell>
          <cell r="E112">
            <v>118086</v>
          </cell>
          <cell r="F112">
            <v>131345</v>
          </cell>
          <cell r="G112">
            <v>142341</v>
          </cell>
          <cell r="H112">
            <v>150772</v>
          </cell>
          <cell r="I112">
            <v>165849.20000000001</v>
          </cell>
          <cell r="J112">
            <v>182434.12000000002</v>
          </cell>
          <cell r="K112">
            <v>200677.53200000004</v>
          </cell>
          <cell r="L112">
            <v>220745.28520000007</v>
          </cell>
          <cell r="M112">
            <v>242819.81372000009</v>
          </cell>
        </row>
        <row r="113">
          <cell r="A113" t="str">
            <v>Gross Profit Margin (%)</v>
          </cell>
          <cell r="D113">
            <v>0.61744782220827987</v>
          </cell>
          <cell r="E113">
            <v>0.59348271598665381</v>
          </cell>
          <cell r="F113">
            <v>0.62600022840610603</v>
          </cell>
          <cell r="G113">
            <v>0.63008549890755294</v>
          </cell>
          <cell r="H113">
            <v>0.62386915342371263</v>
          </cell>
          <cell r="I113">
            <v>0.57999999999999996</v>
          </cell>
          <cell r="J113">
            <v>0.53</v>
          </cell>
          <cell r="K113">
            <v>0.5</v>
          </cell>
          <cell r="L113">
            <v>0.64</v>
          </cell>
          <cell r="M113">
            <v>0.65</v>
          </cell>
        </row>
        <row r="115">
          <cell r="A115" t="str">
            <v>Operating Cash Flow</v>
          </cell>
          <cell r="D115">
            <v>12971</v>
          </cell>
          <cell r="E115">
            <v>28239</v>
          </cell>
          <cell r="F115">
            <v>37505</v>
          </cell>
          <cell r="G115">
            <v>42355</v>
          </cell>
          <cell r="H115">
            <v>43479</v>
          </cell>
          <cell r="I115">
            <v>5400.8075627397266</v>
          </cell>
          <cell r="J115">
            <v>-5.1875256438343058</v>
          </cell>
          <cell r="K115">
            <v>-1710.8084176411012</v>
          </cell>
          <cell r="L115">
            <v>32030.025182652756</v>
          </cell>
          <cell r="M115">
            <v>33942.896095820623</v>
          </cell>
        </row>
        <row r="116">
          <cell r="A116" t="str">
            <v>Investing Cash Flow</v>
          </cell>
          <cell r="D116">
            <v>-15000</v>
          </cell>
          <cell r="E116">
            <v>-15000</v>
          </cell>
          <cell r="F116">
            <v>-15000</v>
          </cell>
          <cell r="G116">
            <v>-15000</v>
          </cell>
          <cell r="H116">
            <v>-15000</v>
          </cell>
          <cell r="I116">
            <v>-15000</v>
          </cell>
          <cell r="J116">
            <v>-15000</v>
          </cell>
          <cell r="K116">
            <v>-15000</v>
          </cell>
          <cell r="L116">
            <v>-15000</v>
          </cell>
          <cell r="M116">
            <v>-15000</v>
          </cell>
        </row>
        <row r="117">
          <cell r="A117" t="str">
            <v>Financing Cash Flow</v>
          </cell>
          <cell r="D117">
            <v>70000</v>
          </cell>
          <cell r="E117">
            <v>0</v>
          </cell>
          <cell r="F117">
            <v>-20000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-20000</v>
          </cell>
          <cell r="L117">
            <v>0</v>
          </cell>
          <cell r="M117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worldbank.org/indicator/NY.GDP.MKTP.KD.ZG?utm_source=chatgpt.com" TargetMode="External"/><Relationship Id="rId2" Type="http://schemas.openxmlformats.org/officeDocument/2006/relationships/hyperlink" Target="https://rbi.org.in/Scripts/AnnualPublications.aspx?head=Handbook%20of%20Statistics%20on%20Indian%20Economy" TargetMode="External"/><Relationship Id="rId1" Type="http://schemas.openxmlformats.org/officeDocument/2006/relationships/hyperlink" Target="https://www.ibef.org/industry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BFB28-A99C-4027-8D93-A2C22D92EDCF}">
  <dimension ref="B1:F9"/>
  <sheetViews>
    <sheetView showGridLines="0" zoomScale="145" zoomScaleNormal="145" workbookViewId="0">
      <selection activeCell="B1" sqref="B1"/>
    </sheetView>
  </sheetViews>
  <sheetFormatPr defaultRowHeight="14.4"/>
  <cols>
    <col min="5" max="6" width="9.6640625" bestFit="1" customWidth="1"/>
  </cols>
  <sheetData>
    <row r="1" spans="2:6" ht="20.399999999999999">
      <c r="B1" s="22" t="s">
        <v>103</v>
      </c>
    </row>
    <row r="2" spans="2:6" ht="12" customHeight="1">
      <c r="B2" s="22"/>
    </row>
    <row r="4" spans="2:6">
      <c r="C4" s="73" t="s">
        <v>97</v>
      </c>
      <c r="D4" s="73"/>
      <c r="E4" s="73" t="s">
        <v>98</v>
      </c>
      <c r="F4" s="74">
        <v>102007</v>
      </c>
    </row>
    <row r="5" spans="2:6">
      <c r="C5" t="s">
        <v>99</v>
      </c>
      <c r="E5" t="s">
        <v>100</v>
      </c>
      <c r="F5" s="70">
        <v>102007</v>
      </c>
    </row>
    <row r="6" spans="2:6">
      <c r="C6" s="71" t="s">
        <v>101</v>
      </c>
      <c r="D6" s="71"/>
      <c r="E6" s="71" t="s">
        <v>102</v>
      </c>
      <c r="F6" s="72">
        <v>102007</v>
      </c>
    </row>
    <row r="8" spans="2:6">
      <c r="C8" s="73" t="s">
        <v>104</v>
      </c>
      <c r="D8" s="73"/>
      <c r="E8" s="76">
        <v>102007</v>
      </c>
    </row>
    <row r="9" spans="2:6">
      <c r="C9" s="71" t="s">
        <v>105</v>
      </c>
      <c r="D9" s="71"/>
      <c r="E9" s="7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540C3-D160-4087-AD83-4A64B7AB7019}">
  <dimension ref="B1:AD21"/>
  <sheetViews>
    <sheetView showGridLines="0" zoomScale="115" zoomScaleNormal="115" workbookViewId="0">
      <pane ySplit="3" topLeftCell="A4" activePane="bottomLeft" state="frozen"/>
      <selection pane="bottomLeft" activeCell="Q18" sqref="Q18"/>
    </sheetView>
  </sheetViews>
  <sheetFormatPr defaultRowHeight="14.4"/>
  <cols>
    <col min="1" max="1" width="3.109375" customWidth="1"/>
    <col min="4" max="4" width="8.88671875" customWidth="1"/>
    <col min="6" max="10" width="10" customWidth="1"/>
    <col min="11" max="11" width="10.5546875" customWidth="1"/>
    <col min="12" max="15" width="10" customWidth="1"/>
    <col min="18" max="21" width="13.5546875" customWidth="1"/>
    <col min="26" max="30" width="19.109375" customWidth="1"/>
  </cols>
  <sheetData>
    <row r="1" spans="2:30" ht="20.399999999999999">
      <c r="B1" s="22" t="s">
        <v>0</v>
      </c>
    </row>
    <row r="2" spans="2:30">
      <c r="F2" s="153" t="s">
        <v>1</v>
      </c>
      <c r="G2" s="153"/>
      <c r="H2" s="153"/>
      <c r="I2" s="153"/>
      <c r="J2" s="153"/>
      <c r="K2" s="153" t="s">
        <v>2</v>
      </c>
      <c r="L2" s="153"/>
      <c r="M2" s="153"/>
      <c r="N2" s="153"/>
      <c r="O2" s="153"/>
    </row>
    <row r="3" spans="2:30" ht="15" thickBot="1">
      <c r="F3" s="3">
        <v>2021</v>
      </c>
      <c r="G3" s="3">
        <v>2022</v>
      </c>
      <c r="H3" s="3">
        <v>2023</v>
      </c>
      <c r="I3" s="3">
        <v>2024</v>
      </c>
      <c r="J3" s="3">
        <v>2025</v>
      </c>
      <c r="K3" s="62">
        <v>2026</v>
      </c>
      <c r="L3" s="62">
        <v>2027</v>
      </c>
      <c r="M3" s="62">
        <v>2028</v>
      </c>
      <c r="N3" s="62">
        <v>2029</v>
      </c>
      <c r="O3" s="62">
        <v>2030</v>
      </c>
      <c r="Q3" t="s">
        <v>109</v>
      </c>
    </row>
    <row r="4" spans="2:30">
      <c r="Q4" s="93" t="s">
        <v>111</v>
      </c>
      <c r="R4" s="94"/>
      <c r="S4" s="94"/>
      <c r="T4" s="94"/>
      <c r="U4" s="94"/>
      <c r="V4" s="94"/>
      <c r="W4" s="95"/>
      <c r="Y4" s="93" t="s">
        <v>128</v>
      </c>
      <c r="Z4" s="94"/>
      <c r="AA4" s="94"/>
      <c r="AB4" s="94"/>
      <c r="AC4" s="94"/>
      <c r="AD4" s="95"/>
    </row>
    <row r="5" spans="2:30">
      <c r="B5" s="27" t="s">
        <v>3</v>
      </c>
      <c r="F5" s="17">
        <v>84133</v>
      </c>
      <c r="G5" s="17">
        <v>129021</v>
      </c>
      <c r="H5" s="17">
        <v>142913</v>
      </c>
      <c r="I5" s="17">
        <v>140933</v>
      </c>
      <c r="J5" s="17">
        <v>132517</v>
      </c>
      <c r="K5" s="67">
        <f>J5*(1+K6)</f>
        <v>139805.435</v>
      </c>
      <c r="L5" s="67">
        <f t="shared" ref="L5:O5" si="0">K5*(1+L6)</f>
        <v>147075.31762000002</v>
      </c>
      <c r="M5" s="67">
        <f t="shared" si="0"/>
        <v>154282.00818338001</v>
      </c>
      <c r="N5" s="67">
        <f t="shared" si="0"/>
        <v>161224.69855163209</v>
      </c>
      <c r="O5" s="67">
        <f t="shared" si="0"/>
        <v>167996.13589080065</v>
      </c>
      <c r="Q5" s="96" t="s">
        <v>112</v>
      </c>
      <c r="R5" s="84" t="s">
        <v>110</v>
      </c>
      <c r="W5" s="97"/>
      <c r="Y5" s="106" t="s">
        <v>112</v>
      </c>
      <c r="Z5" s="107" t="s">
        <v>129</v>
      </c>
      <c r="AA5" s="73"/>
      <c r="AB5" s="73"/>
      <c r="AC5" s="73"/>
      <c r="AD5" s="114"/>
    </row>
    <row r="6" spans="2:30">
      <c r="B6" s="66" t="s">
        <v>106</v>
      </c>
      <c r="F6" s="17"/>
      <c r="G6" s="18">
        <f>G5/F5-1</f>
        <v>0.5335361867519286</v>
      </c>
      <c r="H6" s="18">
        <f t="shared" ref="H6:J6" si="1">H5/G5-1</f>
        <v>0.10767239441641285</v>
      </c>
      <c r="I6" s="18">
        <f t="shared" si="1"/>
        <v>-1.3854582858102482E-2</v>
      </c>
      <c r="J6" s="18">
        <f t="shared" si="1"/>
        <v>-5.9716319101984605E-2</v>
      </c>
      <c r="K6" s="92">
        <v>5.5E-2</v>
      </c>
      <c r="L6" s="92">
        <v>5.1999999999999998E-2</v>
      </c>
      <c r="M6" s="92">
        <v>4.9000000000000002E-2</v>
      </c>
      <c r="N6" s="92">
        <v>4.4999999999999998E-2</v>
      </c>
      <c r="O6" s="92">
        <v>4.2000000000000003E-2</v>
      </c>
      <c r="Q6" s="98"/>
      <c r="R6" s="84" t="s">
        <v>113</v>
      </c>
      <c r="S6" s="85" t="s">
        <v>121</v>
      </c>
      <c r="U6" s="86" t="s">
        <v>117</v>
      </c>
      <c r="W6" s="97"/>
      <c r="Y6" s="98"/>
      <c r="Z6" s="108">
        <f>F3</f>
        <v>2021</v>
      </c>
      <c r="AA6" s="108">
        <f>G3</f>
        <v>2022</v>
      </c>
      <c r="AB6" s="108">
        <f>H3</f>
        <v>2023</v>
      </c>
      <c r="AC6" s="108">
        <f>I3</f>
        <v>2024</v>
      </c>
      <c r="AD6" s="115">
        <f>J3</f>
        <v>2025</v>
      </c>
    </row>
    <row r="7" spans="2:30">
      <c r="B7" s="27" t="s">
        <v>4</v>
      </c>
      <c r="C7" s="10"/>
      <c r="F7" s="17">
        <v>39023</v>
      </c>
      <c r="G7" s="17">
        <v>48004</v>
      </c>
      <c r="H7" s="17">
        <v>49123</v>
      </c>
      <c r="I7" s="17">
        <v>52654</v>
      </c>
      <c r="J7" s="17">
        <v>56710</v>
      </c>
      <c r="K7" s="67">
        <f>K5*K8</f>
        <v>52007.62182</v>
      </c>
      <c r="L7" s="67">
        <f t="shared" ref="L7:O7" si="2">L5*L8</f>
        <v>54712.018154640005</v>
      </c>
      <c r="M7" s="67">
        <f t="shared" si="2"/>
        <v>57392.907044217362</v>
      </c>
      <c r="N7" s="67">
        <f t="shared" si="2"/>
        <v>59975.587861207132</v>
      </c>
      <c r="O7" s="67">
        <f t="shared" si="2"/>
        <v>62494.562551377843</v>
      </c>
      <c r="Q7" s="98"/>
      <c r="R7" s="84" t="s">
        <v>114</v>
      </c>
      <c r="S7" s="85" t="s">
        <v>119</v>
      </c>
      <c r="U7" s="86" t="s">
        <v>116</v>
      </c>
      <c r="W7" s="97"/>
      <c r="Y7" s="98"/>
      <c r="Z7" s="109">
        <f>F8</f>
        <v>0.46382513401400166</v>
      </c>
      <c r="AA7" s="109">
        <f>G8</f>
        <v>0.37206346253710637</v>
      </c>
      <c r="AB7" s="109">
        <f>H8</f>
        <v>0.34372660289826679</v>
      </c>
      <c r="AC7" s="109">
        <f>I8</f>
        <v>0.37361015518012103</v>
      </c>
      <c r="AD7" s="116">
        <f>J8</f>
        <v>0.42794509383701712</v>
      </c>
    </row>
    <row r="8" spans="2:30">
      <c r="B8" s="66" t="s">
        <v>107</v>
      </c>
      <c r="C8" s="10"/>
      <c r="F8" s="78">
        <f>F7/F5</f>
        <v>0.46382513401400166</v>
      </c>
      <c r="G8" s="78">
        <f t="shared" ref="G8:J8" si="3">G7/G5</f>
        <v>0.37206346253710637</v>
      </c>
      <c r="H8" s="78">
        <f t="shared" si="3"/>
        <v>0.34372660289826679</v>
      </c>
      <c r="I8" s="78">
        <f t="shared" si="3"/>
        <v>0.37361015518012103</v>
      </c>
      <c r="J8" s="78">
        <f t="shared" si="3"/>
        <v>0.42794509383701712</v>
      </c>
      <c r="K8" s="125">
        <v>0.372</v>
      </c>
      <c r="L8" s="125">
        <v>0.372</v>
      </c>
      <c r="M8" s="125">
        <v>0.372</v>
      </c>
      <c r="N8" s="125">
        <v>0.372</v>
      </c>
      <c r="O8" s="125">
        <v>0.372</v>
      </c>
      <c r="Q8" s="99"/>
      <c r="R8" s="87" t="s">
        <v>115</v>
      </c>
      <c r="S8" s="88" t="s">
        <v>118</v>
      </c>
      <c r="T8" s="71"/>
      <c r="U8" s="89" t="s">
        <v>120</v>
      </c>
      <c r="V8" s="71"/>
      <c r="W8" s="100"/>
      <c r="Y8" s="98"/>
      <c r="AA8" s="91">
        <f>AA7-Z7</f>
        <v>-9.176167147689529E-2</v>
      </c>
      <c r="AB8" s="91">
        <f>AB7-AA7</f>
        <v>-2.8336859638839584E-2</v>
      </c>
      <c r="AC8" s="91">
        <f>AC7-AB7</f>
        <v>2.9883552281854242E-2</v>
      </c>
      <c r="AD8" s="117">
        <f>AD7-AC7</f>
        <v>5.4334938656896092E-2</v>
      </c>
    </row>
    <row r="9" spans="2:30">
      <c r="B9" s="79" t="s">
        <v>5</v>
      </c>
      <c r="C9" s="80"/>
      <c r="D9" s="81"/>
      <c r="E9" s="81"/>
      <c r="F9" s="82">
        <f t="shared" ref="F9:K9" si="4">F5-F7</f>
        <v>45110</v>
      </c>
      <c r="G9" s="82">
        <f t="shared" si="4"/>
        <v>81017</v>
      </c>
      <c r="H9" s="82">
        <f t="shared" si="4"/>
        <v>93790</v>
      </c>
      <c r="I9" s="82">
        <f t="shared" si="4"/>
        <v>88279</v>
      </c>
      <c r="J9" s="82">
        <f t="shared" si="4"/>
        <v>75807</v>
      </c>
      <c r="K9" s="126">
        <f t="shared" si="4"/>
        <v>87797.813179999997</v>
      </c>
      <c r="L9" s="126">
        <f t="shared" ref="L9:O9" si="5">L5-L7</f>
        <v>92363.299465360004</v>
      </c>
      <c r="M9" s="126">
        <f t="shared" si="5"/>
        <v>96889.101139162638</v>
      </c>
      <c r="N9" s="126">
        <f t="shared" si="5"/>
        <v>101249.11069042495</v>
      </c>
      <c r="O9" s="126">
        <f t="shared" si="5"/>
        <v>105501.57333942282</v>
      </c>
      <c r="Q9" s="101" t="s">
        <v>123</v>
      </c>
      <c r="R9" s="90" t="s">
        <v>122</v>
      </c>
      <c r="W9" s="97"/>
      <c r="Y9" s="99"/>
      <c r="Z9" s="71"/>
      <c r="AA9" s="71"/>
      <c r="AB9" s="87" t="s">
        <v>130</v>
      </c>
      <c r="AC9" s="71"/>
      <c r="AD9" s="100"/>
    </row>
    <row r="10" spans="2:30">
      <c r="B10" s="66" t="s">
        <v>17</v>
      </c>
      <c r="F10" s="17">
        <v>37390</v>
      </c>
      <c r="G10" s="17">
        <v>32783</v>
      </c>
      <c r="H10" s="17">
        <v>33959</v>
      </c>
      <c r="I10" s="17">
        <v>34022</v>
      </c>
      <c r="J10" s="17">
        <v>36657</v>
      </c>
      <c r="K10" s="67">
        <f>K5*K11</f>
        <v>33553.304400000001</v>
      </c>
      <c r="L10" s="67">
        <f t="shared" ref="L10:O10" si="6">L5*L11</f>
        <v>35298.076228800004</v>
      </c>
      <c r="M10" s="67">
        <f t="shared" si="6"/>
        <v>37027.681964011201</v>
      </c>
      <c r="N10" s="67">
        <f t="shared" si="6"/>
        <v>38693.9276523917</v>
      </c>
      <c r="O10" s="67">
        <f t="shared" si="6"/>
        <v>40319.072613792152</v>
      </c>
      <c r="Q10" s="98"/>
      <c r="R10" s="4" t="str">
        <f>G3&amp;"-"&amp;F3</f>
        <v>2022-2021</v>
      </c>
      <c r="S10" s="4" t="str">
        <f t="shared" ref="S10:U10" si="7">H3&amp;"-"&amp;G3</f>
        <v>2023-2022</v>
      </c>
      <c r="T10" s="4" t="str">
        <f t="shared" si="7"/>
        <v>2024-2023</v>
      </c>
      <c r="U10" s="4" t="str">
        <f t="shared" si="7"/>
        <v>2025-2024</v>
      </c>
      <c r="W10" s="97"/>
      <c r="Y10" s="101" t="s">
        <v>123</v>
      </c>
      <c r="Z10" s="84" t="s">
        <v>131</v>
      </c>
      <c r="AD10" s="97"/>
    </row>
    <row r="11" spans="2:30">
      <c r="B11" s="66" t="s">
        <v>107</v>
      </c>
      <c r="F11" s="78">
        <f>F10/F5</f>
        <v>0.44441538991834356</v>
      </c>
      <c r="G11" s="78">
        <f t="shared" ref="G11:J11" si="8">G10/G5</f>
        <v>0.25409041938909172</v>
      </c>
      <c r="H11" s="78">
        <f t="shared" si="8"/>
        <v>0.23762009054459707</v>
      </c>
      <c r="I11" s="78">
        <f t="shared" si="8"/>
        <v>0.24140549055224822</v>
      </c>
      <c r="J11" s="78">
        <f t="shared" si="8"/>
        <v>0.27662111276289081</v>
      </c>
      <c r="K11" s="125">
        <v>0.24</v>
      </c>
      <c r="L11" s="125">
        <v>0.24</v>
      </c>
      <c r="M11" s="125">
        <v>0.24</v>
      </c>
      <c r="N11" s="125">
        <v>0.24</v>
      </c>
      <c r="O11" s="125">
        <v>0.24</v>
      </c>
      <c r="Q11" s="98"/>
      <c r="R11" s="102">
        <f>G6</f>
        <v>0.5335361867519286</v>
      </c>
      <c r="S11" s="102">
        <f>H6</f>
        <v>0.10767239441641285</v>
      </c>
      <c r="T11" s="102">
        <f>I6</f>
        <v>-1.3854582858102482E-2</v>
      </c>
      <c r="U11" s="102">
        <f>J6</f>
        <v>-5.9716319101984605E-2</v>
      </c>
      <c r="W11" s="97"/>
      <c r="Y11" s="98"/>
      <c r="Z11" s="112" t="s">
        <v>132</v>
      </c>
      <c r="AA11" s="112" t="s">
        <v>142</v>
      </c>
      <c r="AB11" s="112" t="s">
        <v>133</v>
      </c>
      <c r="AC11" s="110"/>
      <c r="AD11" s="118"/>
    </row>
    <row r="12" spans="2:30">
      <c r="B12" s="79" t="s">
        <v>15</v>
      </c>
      <c r="C12" s="80"/>
      <c r="D12" s="81"/>
      <c r="E12" s="81"/>
      <c r="F12" s="82">
        <f>F9-F10</f>
        <v>7720</v>
      </c>
      <c r="G12" s="82">
        <f t="shared" ref="G12:J12" si="9">G9-G10</f>
        <v>48234</v>
      </c>
      <c r="H12" s="82">
        <f t="shared" si="9"/>
        <v>59831</v>
      </c>
      <c r="I12" s="82">
        <f t="shared" si="9"/>
        <v>54257</v>
      </c>
      <c r="J12" s="82">
        <f t="shared" si="9"/>
        <v>39150</v>
      </c>
      <c r="K12" s="126">
        <f>K9-K10</f>
        <v>54244.508779999996</v>
      </c>
      <c r="L12" s="126">
        <f t="shared" ref="L12:O12" si="10">L9-L10</f>
        <v>57065.223236559999</v>
      </c>
      <c r="M12" s="126">
        <f t="shared" si="10"/>
        <v>59861.419175151437</v>
      </c>
      <c r="N12" s="126">
        <f t="shared" si="10"/>
        <v>62555.183038033247</v>
      </c>
      <c r="O12" s="126">
        <f t="shared" si="10"/>
        <v>65182.500725630664</v>
      </c>
      <c r="Q12" s="98"/>
      <c r="S12" s="91">
        <f>S11-R11</f>
        <v>-0.42586379233551575</v>
      </c>
      <c r="T12" s="91">
        <f>T11-S11</f>
        <v>-0.12152697727451534</v>
      </c>
      <c r="U12" s="91">
        <f>U11-T11</f>
        <v>-4.5861736243882123E-2</v>
      </c>
      <c r="W12" s="97"/>
      <c r="Y12" s="98"/>
      <c r="Z12" s="113" t="s">
        <v>137</v>
      </c>
      <c r="AA12" s="113" t="s">
        <v>143</v>
      </c>
      <c r="AB12" s="113" t="s">
        <v>149</v>
      </c>
      <c r="AC12" s="111"/>
      <c r="AD12" s="119"/>
    </row>
    <row r="13" spans="2:30">
      <c r="B13" s="66" t="s">
        <v>18</v>
      </c>
      <c r="F13" s="70">
        <f>'Supporting Schedules'!F21</f>
        <v>19500</v>
      </c>
      <c r="G13" s="70">
        <f>'Supporting Schedules'!G21</f>
        <v>18150</v>
      </c>
      <c r="H13" s="70">
        <f>'Supporting Schedules'!H21</f>
        <v>17205</v>
      </c>
      <c r="I13" s="70">
        <f>'Supporting Schedules'!I21</f>
        <v>16544</v>
      </c>
      <c r="J13" s="70">
        <f>'Supporting Schedules'!J21</f>
        <v>16080</v>
      </c>
      <c r="K13" s="69">
        <v>15500</v>
      </c>
      <c r="L13" s="69">
        <v>15000</v>
      </c>
      <c r="M13" s="69">
        <v>14500</v>
      </c>
      <c r="N13" s="69">
        <v>14000</v>
      </c>
      <c r="O13" s="69">
        <v>13500</v>
      </c>
      <c r="Q13" s="99"/>
      <c r="R13" s="71"/>
      <c r="S13" s="71"/>
      <c r="T13" s="87" t="s">
        <v>124</v>
      </c>
      <c r="U13" s="71"/>
      <c r="V13" s="71"/>
      <c r="W13" s="100"/>
      <c r="Y13" s="98"/>
      <c r="Z13" s="113" t="s">
        <v>138</v>
      </c>
      <c r="AA13" s="113" t="s">
        <v>144</v>
      </c>
      <c r="AB13" s="113" t="s">
        <v>134</v>
      </c>
      <c r="AC13" s="111"/>
      <c r="AD13" s="119"/>
    </row>
    <row r="14" spans="2:30">
      <c r="G14" s="66"/>
      <c r="H14" s="66"/>
      <c r="I14" s="66"/>
      <c r="J14" s="66"/>
      <c r="K14" s="127" t="s">
        <v>302</v>
      </c>
      <c r="L14" s="75"/>
      <c r="M14" s="75"/>
      <c r="N14" s="75"/>
      <c r="O14" s="75"/>
      <c r="Q14" s="101" t="s">
        <v>126</v>
      </c>
      <c r="R14" s="84" t="s">
        <v>125</v>
      </c>
      <c r="W14" s="97"/>
      <c r="Y14" s="98"/>
      <c r="Z14" s="113" t="s">
        <v>139</v>
      </c>
      <c r="AA14" s="113" t="s">
        <v>145</v>
      </c>
      <c r="AB14" s="113" t="s">
        <v>148</v>
      </c>
      <c r="AC14" s="111"/>
      <c r="AD14" s="119"/>
    </row>
    <row r="15" spans="2:30" ht="15" thickBot="1">
      <c r="B15" s="79" t="s">
        <v>16</v>
      </c>
      <c r="C15" s="80"/>
      <c r="D15" s="81"/>
      <c r="E15" s="81"/>
      <c r="F15" s="82">
        <f t="shared" ref="F15:K15" si="11">F12-F13</f>
        <v>-11780</v>
      </c>
      <c r="G15" s="82">
        <f t="shared" si="11"/>
        <v>30084</v>
      </c>
      <c r="H15" s="82">
        <f t="shared" si="11"/>
        <v>42626</v>
      </c>
      <c r="I15" s="82">
        <f t="shared" si="11"/>
        <v>37713</v>
      </c>
      <c r="J15" s="82">
        <f t="shared" si="11"/>
        <v>23070</v>
      </c>
      <c r="K15" s="126">
        <f t="shared" si="11"/>
        <v>38744.508779999996</v>
      </c>
      <c r="L15" s="126">
        <f t="shared" ref="L15:O15" si="12">L12-L13</f>
        <v>42065.223236559999</v>
      </c>
      <c r="M15" s="126">
        <f t="shared" si="12"/>
        <v>45361.419175151437</v>
      </c>
      <c r="N15" s="126">
        <f t="shared" si="12"/>
        <v>48555.183038033247</v>
      </c>
      <c r="O15" s="126">
        <f t="shared" si="12"/>
        <v>51682.500725630664</v>
      </c>
      <c r="Q15" s="103"/>
      <c r="R15" s="104" t="s">
        <v>127</v>
      </c>
      <c r="S15" s="104"/>
      <c r="T15" s="104"/>
      <c r="U15" s="104"/>
      <c r="V15" s="104"/>
      <c r="W15" s="105"/>
      <c r="Y15" s="98"/>
      <c r="Z15" s="113" t="s">
        <v>146</v>
      </c>
      <c r="AA15" s="113" t="s">
        <v>140</v>
      </c>
      <c r="AB15" s="113" t="s">
        <v>135</v>
      </c>
      <c r="AC15" s="111"/>
      <c r="AD15" s="119"/>
    </row>
    <row r="16" spans="2:30">
      <c r="B16" s="66" t="s">
        <v>19</v>
      </c>
      <c r="F16" s="70">
        <f>'Supporting Schedules'!F27</f>
        <v>2500</v>
      </c>
      <c r="G16" s="70">
        <f>'Supporting Schedules'!G27</f>
        <v>2250</v>
      </c>
      <c r="H16" s="70">
        <f>'Supporting Schedules'!H27</f>
        <v>2000</v>
      </c>
      <c r="I16" s="70">
        <f>'Supporting Schedules'!I27</f>
        <v>1750</v>
      </c>
      <c r="J16" s="70">
        <f>'Supporting Schedules'!J27</f>
        <v>1500</v>
      </c>
      <c r="K16" s="69">
        <v>1500</v>
      </c>
      <c r="L16" s="69">
        <v>1500</v>
      </c>
      <c r="M16" s="69">
        <v>1500</v>
      </c>
      <c r="N16" s="69">
        <v>1500</v>
      </c>
      <c r="O16" s="69">
        <v>1500</v>
      </c>
      <c r="Y16" s="98"/>
      <c r="Z16" s="113" t="s">
        <v>141</v>
      </c>
      <c r="AA16" s="113" t="s">
        <v>147</v>
      </c>
      <c r="AB16" s="113" t="s">
        <v>136</v>
      </c>
      <c r="AC16" s="111"/>
      <c r="AD16" s="119"/>
    </row>
    <row r="17" spans="2:30">
      <c r="K17" s="127" t="s">
        <v>301</v>
      </c>
      <c r="L17" s="75"/>
      <c r="M17" s="75"/>
      <c r="N17" s="75"/>
      <c r="O17" s="75"/>
      <c r="Y17" s="98"/>
      <c r="Z17" s="111"/>
      <c r="AA17" s="111"/>
      <c r="AB17" s="111"/>
      <c r="AC17" s="111"/>
      <c r="AD17" s="119"/>
    </row>
    <row r="18" spans="2:30">
      <c r="B18" s="79" t="s">
        <v>12</v>
      </c>
      <c r="C18" s="80"/>
      <c r="D18" s="81"/>
      <c r="E18" s="81"/>
      <c r="F18" s="82">
        <f t="shared" ref="F18:K18" si="13">F15-F16</f>
        <v>-14280</v>
      </c>
      <c r="G18" s="82">
        <f t="shared" si="13"/>
        <v>27834</v>
      </c>
      <c r="H18" s="82">
        <f t="shared" si="13"/>
        <v>40626</v>
      </c>
      <c r="I18" s="82">
        <f t="shared" si="13"/>
        <v>35963</v>
      </c>
      <c r="J18" s="82">
        <f t="shared" si="13"/>
        <v>21570</v>
      </c>
      <c r="K18" s="126">
        <f t="shared" si="13"/>
        <v>37244.508779999996</v>
      </c>
      <c r="L18" s="126">
        <f t="shared" ref="L18:O18" si="14">L15-L16</f>
        <v>40565.223236559999</v>
      </c>
      <c r="M18" s="126">
        <f t="shared" si="14"/>
        <v>43861.419175151437</v>
      </c>
      <c r="N18" s="126">
        <f t="shared" si="14"/>
        <v>47055.183038033247</v>
      </c>
      <c r="O18" s="126">
        <f t="shared" si="14"/>
        <v>50182.500725630664</v>
      </c>
      <c r="Y18" s="122" t="s">
        <v>126</v>
      </c>
      <c r="Z18" s="107" t="s">
        <v>150</v>
      </c>
      <c r="AA18" s="123"/>
      <c r="AB18" s="123"/>
      <c r="AC18" s="123"/>
      <c r="AD18" s="124"/>
    </row>
    <row r="19" spans="2:30" ht="15" thickBot="1">
      <c r="B19" s="66" t="s">
        <v>108</v>
      </c>
      <c r="C19" s="83">
        <v>0.3</v>
      </c>
      <c r="F19" s="67">
        <f>$C$19*F18</f>
        <v>-4284</v>
      </c>
      <c r="G19" s="67">
        <f t="shared" ref="G19:O19" si="15">30%*G18</f>
        <v>8350.1999999999989</v>
      </c>
      <c r="H19" s="67">
        <f t="shared" si="15"/>
        <v>12187.8</v>
      </c>
      <c r="I19" s="67">
        <f t="shared" si="15"/>
        <v>10788.9</v>
      </c>
      <c r="J19" s="67">
        <f t="shared" si="15"/>
        <v>6471</v>
      </c>
      <c r="K19" s="67">
        <f t="shared" si="15"/>
        <v>11173.352633999999</v>
      </c>
      <c r="L19" s="67">
        <f t="shared" si="15"/>
        <v>12169.566970967999</v>
      </c>
      <c r="M19" s="67">
        <f t="shared" si="15"/>
        <v>13158.42575254543</v>
      </c>
      <c r="N19" s="67">
        <f t="shared" si="15"/>
        <v>14116.554911409974</v>
      </c>
      <c r="O19" s="67">
        <f t="shared" si="15"/>
        <v>15054.750217689198</v>
      </c>
      <c r="Y19" s="103"/>
      <c r="Z19" s="104" t="s">
        <v>151</v>
      </c>
      <c r="AA19" s="120"/>
      <c r="AB19" s="120"/>
      <c r="AC19" s="120"/>
      <c r="AD19" s="121"/>
    </row>
    <row r="20" spans="2:30">
      <c r="B20" s="79" t="s">
        <v>14</v>
      </c>
      <c r="C20" s="80"/>
      <c r="D20" s="81"/>
      <c r="E20" s="81"/>
      <c r="F20" s="82">
        <f>F18-F19</f>
        <v>-9996</v>
      </c>
      <c r="G20" s="82">
        <f t="shared" ref="G20:J20" si="16">G18-G19</f>
        <v>19483.800000000003</v>
      </c>
      <c r="H20" s="82">
        <f t="shared" si="16"/>
        <v>28438.2</v>
      </c>
      <c r="I20" s="82">
        <f t="shared" si="16"/>
        <v>25174.1</v>
      </c>
      <c r="J20" s="82">
        <f t="shared" si="16"/>
        <v>15099</v>
      </c>
      <c r="K20" s="126">
        <f>K18-K19</f>
        <v>26071.156145999998</v>
      </c>
      <c r="L20" s="126">
        <f t="shared" ref="L20:O20" si="17">L18-L19</f>
        <v>28395.656265591999</v>
      </c>
      <c r="M20" s="126">
        <f t="shared" si="17"/>
        <v>30702.993422606007</v>
      </c>
      <c r="N20" s="126">
        <f t="shared" si="17"/>
        <v>32938.628126623269</v>
      </c>
      <c r="O20" s="126">
        <f t="shared" si="17"/>
        <v>35127.75050794147</v>
      </c>
      <c r="Z20" s="111"/>
      <c r="AA20" s="111"/>
      <c r="AB20" s="111"/>
      <c r="AC20" s="111"/>
      <c r="AD20" s="111"/>
    </row>
    <row r="21" spans="2:30">
      <c r="Z21" s="111"/>
      <c r="AA21" s="111"/>
      <c r="AB21" s="111"/>
      <c r="AC21" s="111"/>
      <c r="AD21" s="111"/>
    </row>
  </sheetData>
  <mergeCells count="2">
    <mergeCell ref="F2:J2"/>
    <mergeCell ref="K2:O2"/>
  </mergeCells>
  <hyperlinks>
    <hyperlink ref="U6" r:id="rId1" xr:uid="{8923D390-0705-4FBB-8ABF-C5938BC529DF}"/>
    <hyperlink ref="U7" r:id="rId2" xr:uid="{962F9B34-DC65-42FE-AE32-EB9905C0115D}"/>
    <hyperlink ref="U8" r:id="rId3" xr:uid="{3161FA22-4CF3-4DFC-AE6E-D5A6CE26062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B1DF7-7DC8-47F8-909D-78AEB4FA5C32}">
  <dimension ref="A1:Q46"/>
  <sheetViews>
    <sheetView showGridLines="0" zoomScale="145" zoomScaleNormal="145" workbookViewId="0">
      <pane ySplit="3" topLeftCell="A23" activePane="bottomLeft" state="frozen"/>
      <selection pane="bottomLeft" activeCell="J29" sqref="J29"/>
    </sheetView>
  </sheetViews>
  <sheetFormatPr defaultRowHeight="14.4"/>
  <cols>
    <col min="1" max="1" width="25.21875" bestFit="1" customWidth="1"/>
    <col min="2" max="2" width="8.88671875" style="61"/>
    <col min="4" max="4" width="7.6640625" customWidth="1"/>
    <col min="5" max="5" width="7.77734375" style="132" customWidth="1"/>
    <col min="6" max="15" width="10.44140625" customWidth="1"/>
  </cols>
  <sheetData>
    <row r="1" spans="1:17" ht="20.399999999999999">
      <c r="B1" s="145" t="s">
        <v>0</v>
      </c>
    </row>
    <row r="2" spans="1:17">
      <c r="F2" s="153" t="s">
        <v>1</v>
      </c>
      <c r="G2" s="153"/>
      <c r="H2" s="153"/>
      <c r="I2" s="153"/>
      <c r="J2" s="153"/>
      <c r="K2" s="153" t="s">
        <v>2</v>
      </c>
      <c r="L2" s="153"/>
      <c r="M2" s="153"/>
      <c r="N2" s="153"/>
      <c r="O2" s="153"/>
    </row>
    <row r="3" spans="1:17">
      <c r="F3" s="3">
        <v>2021</v>
      </c>
      <c r="G3" s="3">
        <v>2022</v>
      </c>
      <c r="H3" s="3">
        <v>2023</v>
      </c>
      <c r="I3" s="3">
        <v>2024</v>
      </c>
      <c r="J3" s="3">
        <v>2025</v>
      </c>
      <c r="K3" s="62">
        <v>2026</v>
      </c>
      <c r="L3" s="62">
        <v>2027</v>
      </c>
      <c r="M3" s="62">
        <v>2028</v>
      </c>
      <c r="N3" s="62">
        <v>2029</v>
      </c>
      <c r="O3" s="62">
        <v>2030</v>
      </c>
      <c r="Q3" t="s">
        <v>109</v>
      </c>
    </row>
    <row r="4" spans="1:17" ht="16.2">
      <c r="B4" s="133" t="s">
        <v>21</v>
      </c>
      <c r="F4" s="17"/>
      <c r="G4" s="17"/>
      <c r="H4" s="17"/>
      <c r="I4" s="17"/>
      <c r="J4" s="17"/>
    </row>
    <row r="5" spans="1:17">
      <c r="B5" s="90" t="s">
        <v>162</v>
      </c>
      <c r="F5" s="17"/>
      <c r="G5" s="17"/>
      <c r="H5" s="17"/>
      <c r="I5" s="17"/>
      <c r="J5" s="17"/>
    </row>
    <row r="6" spans="1:17">
      <c r="A6" s="135" t="s">
        <v>179</v>
      </c>
      <c r="B6" s="61" t="s">
        <v>152</v>
      </c>
      <c r="F6" s="17">
        <v>67971</v>
      </c>
      <c r="G6" s="17">
        <v>81210</v>
      </c>
      <c r="H6" s="17">
        <v>83715</v>
      </c>
      <c r="I6" s="17">
        <v>111070</v>
      </c>
      <c r="J6" s="17">
        <v>139549</v>
      </c>
    </row>
    <row r="7" spans="1:17">
      <c r="A7" s="135" t="s">
        <v>180</v>
      </c>
      <c r="B7" s="61" t="s">
        <v>23</v>
      </c>
      <c r="F7" s="17">
        <v>5100</v>
      </c>
      <c r="G7" s="17">
        <v>5904</v>
      </c>
      <c r="H7" s="17">
        <v>6567</v>
      </c>
      <c r="I7" s="17">
        <v>7117</v>
      </c>
      <c r="J7" s="17">
        <v>7538</v>
      </c>
    </row>
    <row r="8" spans="1:17">
      <c r="A8" s="135" t="s">
        <v>181</v>
      </c>
      <c r="B8" s="61" t="s">
        <v>24</v>
      </c>
      <c r="F8" s="17">
        <v>7805</v>
      </c>
      <c r="G8" s="17">
        <v>9601</v>
      </c>
      <c r="H8" s="17">
        <v>9825</v>
      </c>
      <c r="I8" s="17">
        <v>10531</v>
      </c>
      <c r="J8" s="17">
        <v>11342</v>
      </c>
    </row>
    <row r="9" spans="1:17">
      <c r="A9" s="135" t="s">
        <v>182</v>
      </c>
      <c r="B9" s="61" t="s">
        <v>153</v>
      </c>
      <c r="F9" s="17"/>
      <c r="G9" s="17"/>
      <c r="H9" s="17"/>
      <c r="I9" s="17"/>
      <c r="J9" s="17"/>
    </row>
    <row r="10" spans="1:17">
      <c r="A10" s="135" t="s">
        <v>183</v>
      </c>
      <c r="B10" s="61" t="s">
        <v>154</v>
      </c>
      <c r="F10" s="17"/>
      <c r="G10" s="17"/>
      <c r="H10" s="17"/>
      <c r="I10" s="17"/>
      <c r="J10" s="17"/>
    </row>
    <row r="11" spans="1:17">
      <c r="B11" s="90" t="s">
        <v>161</v>
      </c>
      <c r="F11" s="17"/>
      <c r="G11" s="17"/>
      <c r="H11" s="17"/>
      <c r="I11" s="17"/>
      <c r="J11" s="17"/>
    </row>
    <row r="12" spans="1:17">
      <c r="A12" s="135" t="s">
        <v>184</v>
      </c>
      <c r="B12" s="61" t="s">
        <v>155</v>
      </c>
      <c r="F12" s="17">
        <v>45500.000000000007</v>
      </c>
      <c r="G12" s="17">
        <v>42350.000000000007</v>
      </c>
      <c r="H12" s="17">
        <v>40145.000000000007</v>
      </c>
      <c r="I12" s="17">
        <v>38601.000000000007</v>
      </c>
      <c r="J12" s="17">
        <v>37521.000000000007</v>
      </c>
    </row>
    <row r="13" spans="1:17">
      <c r="A13" s="135" t="s">
        <v>185</v>
      </c>
      <c r="B13" s="61" t="s">
        <v>156</v>
      </c>
      <c r="F13" s="17"/>
      <c r="G13" s="17"/>
      <c r="H13" s="17"/>
      <c r="I13" s="17"/>
      <c r="J13" s="17"/>
    </row>
    <row r="14" spans="1:17">
      <c r="A14" s="135"/>
      <c r="B14" s="61" t="s">
        <v>157</v>
      </c>
      <c r="F14" s="17"/>
      <c r="G14" s="17"/>
      <c r="H14" s="17"/>
      <c r="I14" s="17"/>
      <c r="J14" s="17"/>
    </row>
    <row r="15" spans="1:17">
      <c r="A15" s="135" t="s">
        <v>186</v>
      </c>
      <c r="B15" s="61" t="s">
        <v>158</v>
      </c>
      <c r="F15" s="17"/>
      <c r="G15" s="17"/>
      <c r="H15" s="17"/>
      <c r="I15" s="17"/>
      <c r="J15" s="17"/>
    </row>
    <row r="16" spans="1:17">
      <c r="A16" s="135" t="s">
        <v>187</v>
      </c>
      <c r="B16" s="61" t="s">
        <v>159</v>
      </c>
      <c r="F16" s="17"/>
      <c r="G16" s="17"/>
      <c r="H16" s="17"/>
      <c r="I16" s="17"/>
      <c r="J16" s="17"/>
    </row>
    <row r="17" spans="1:15">
      <c r="A17" s="135" t="s">
        <v>188</v>
      </c>
      <c r="B17" s="61" t="s">
        <v>160</v>
      </c>
      <c r="F17" s="17"/>
      <c r="G17" s="17"/>
      <c r="H17" s="17"/>
      <c r="I17" s="17"/>
      <c r="J17" s="17"/>
    </row>
    <row r="18" spans="1:15">
      <c r="B18" s="140" t="s">
        <v>26</v>
      </c>
      <c r="C18" s="128"/>
      <c r="D18" s="128"/>
      <c r="E18" s="136"/>
      <c r="F18" s="129">
        <f>SUM(F6:F17)</f>
        <v>126376</v>
      </c>
      <c r="G18" s="129">
        <f>SUM(G6:G17)</f>
        <v>139065</v>
      </c>
      <c r="H18" s="129">
        <f>SUM(H6:H17)</f>
        <v>140252</v>
      </c>
      <c r="I18" s="129">
        <f>SUM(I6:I17)</f>
        <v>167319</v>
      </c>
      <c r="J18" s="129">
        <f>SUM(J6:J17)</f>
        <v>195950</v>
      </c>
      <c r="K18" s="128"/>
      <c r="L18" s="128"/>
      <c r="M18" s="128"/>
      <c r="N18" s="128"/>
      <c r="O18" s="128"/>
    </row>
    <row r="19" spans="1:15">
      <c r="B19" s="141"/>
      <c r="F19" s="17"/>
      <c r="G19" s="17"/>
      <c r="H19" s="17"/>
      <c r="I19" s="17"/>
      <c r="J19" s="17"/>
    </row>
    <row r="20" spans="1:15" ht="16.2">
      <c r="B20" s="133" t="s">
        <v>27</v>
      </c>
      <c r="F20" s="17"/>
      <c r="G20" s="17"/>
      <c r="H20" s="17"/>
      <c r="I20" s="17"/>
      <c r="J20" s="17"/>
    </row>
    <row r="21" spans="1:15">
      <c r="B21" s="90" t="s">
        <v>163</v>
      </c>
      <c r="F21" s="17"/>
      <c r="G21" s="17"/>
      <c r="H21" s="17"/>
      <c r="I21" s="17"/>
      <c r="J21" s="17"/>
    </row>
    <row r="22" spans="1:15">
      <c r="A22" s="135" t="s">
        <v>194</v>
      </c>
      <c r="B22" s="61" t="s">
        <v>28</v>
      </c>
      <c r="F22" s="17">
        <v>3902</v>
      </c>
      <c r="G22" s="17">
        <v>4800</v>
      </c>
      <c r="H22" s="17">
        <v>4912</v>
      </c>
      <c r="I22" s="17">
        <v>5266</v>
      </c>
      <c r="J22" s="17">
        <v>5670</v>
      </c>
    </row>
    <row r="23" spans="1:15">
      <c r="A23" s="135" t="s">
        <v>189</v>
      </c>
      <c r="B23" s="61" t="s">
        <v>164</v>
      </c>
      <c r="F23" s="17"/>
      <c r="G23" s="17"/>
      <c r="H23" s="17"/>
      <c r="I23" s="17"/>
      <c r="J23" s="17"/>
    </row>
    <row r="24" spans="1:15">
      <c r="A24" s="135" t="s">
        <v>190</v>
      </c>
      <c r="B24" s="61" t="s">
        <v>165</v>
      </c>
      <c r="F24" s="17"/>
      <c r="G24" s="17"/>
      <c r="H24" s="17"/>
      <c r="I24" s="17"/>
      <c r="J24" s="17"/>
    </row>
    <row r="25" spans="1:15">
      <c r="A25" s="135" t="s">
        <v>191</v>
      </c>
      <c r="B25" s="61" t="s">
        <v>166</v>
      </c>
      <c r="F25" s="17"/>
      <c r="G25" s="17"/>
      <c r="H25" s="17"/>
      <c r="I25" s="17"/>
      <c r="J25" s="17"/>
    </row>
    <row r="26" spans="1:15">
      <c r="A26" s="135" t="s">
        <v>192</v>
      </c>
      <c r="B26" s="61" t="s">
        <v>167</v>
      </c>
      <c r="F26" s="17"/>
      <c r="G26" s="17"/>
      <c r="H26" s="17"/>
      <c r="I26" s="17"/>
      <c r="J26" s="17"/>
    </row>
    <row r="27" spans="1:15">
      <c r="A27" s="135" t="s">
        <v>193</v>
      </c>
      <c r="B27" s="61" t="s">
        <v>168</v>
      </c>
      <c r="F27" s="17"/>
      <c r="G27" s="17"/>
      <c r="H27" s="17"/>
      <c r="I27" s="17"/>
      <c r="J27" s="17"/>
    </row>
    <row r="28" spans="1:15">
      <c r="B28" s="90" t="s">
        <v>173</v>
      </c>
      <c r="F28" s="17"/>
      <c r="G28" s="17"/>
      <c r="H28" s="17"/>
      <c r="I28" s="17"/>
      <c r="J28" s="17"/>
    </row>
    <row r="29" spans="1:15">
      <c r="A29" s="135" t="s">
        <v>195</v>
      </c>
      <c r="B29" s="61" t="s">
        <v>169</v>
      </c>
      <c r="F29" s="17">
        <f>'Supporting Schedules'!F25</f>
        <v>50000</v>
      </c>
      <c r="G29" s="17">
        <f>'Supporting Schedules'!G25</f>
        <v>45000</v>
      </c>
      <c r="H29" s="17">
        <f>'Supporting Schedules'!H25</f>
        <v>40000</v>
      </c>
      <c r="I29" s="17">
        <f>'Supporting Schedules'!I25</f>
        <v>35000</v>
      </c>
      <c r="J29" s="17">
        <f>'Supporting Schedules'!J25</f>
        <v>30000</v>
      </c>
    </row>
    <row r="30" spans="1:15">
      <c r="A30" s="135" t="s">
        <v>196</v>
      </c>
      <c r="B30" s="61" t="s">
        <v>170</v>
      </c>
      <c r="F30" s="17"/>
      <c r="G30" s="17"/>
      <c r="H30" s="17"/>
      <c r="I30" s="17"/>
      <c r="J30" s="17"/>
    </row>
    <row r="31" spans="1:15">
      <c r="A31" s="135" t="s">
        <v>197</v>
      </c>
      <c r="B31" s="61" t="s">
        <v>171</v>
      </c>
      <c r="F31" s="17"/>
      <c r="G31" s="17"/>
      <c r="H31" s="17"/>
      <c r="I31" s="17"/>
      <c r="J31" s="17"/>
    </row>
    <row r="32" spans="1:15">
      <c r="A32" s="135" t="s">
        <v>198</v>
      </c>
      <c r="B32" s="61" t="s">
        <v>172</v>
      </c>
      <c r="F32" s="17"/>
      <c r="G32" s="17"/>
      <c r="H32" s="17"/>
      <c r="I32" s="17"/>
      <c r="J32" s="17"/>
    </row>
    <row r="33" spans="1:15">
      <c r="B33" s="142" t="s">
        <v>30</v>
      </c>
      <c r="C33" s="14"/>
      <c r="D33" s="14"/>
      <c r="E33" s="137"/>
      <c r="F33" s="65">
        <f>SUM(F22:F32)</f>
        <v>53902</v>
      </c>
      <c r="G33" s="65">
        <f>SUM(G22:G32)</f>
        <v>49800</v>
      </c>
      <c r="H33" s="65">
        <f>SUM(H22:H32)</f>
        <v>44912</v>
      </c>
      <c r="I33" s="65">
        <f>SUM(I22:I32)</f>
        <v>40266</v>
      </c>
      <c r="J33" s="65">
        <f>SUM(J22:J32)</f>
        <v>35670</v>
      </c>
      <c r="K33" s="14"/>
      <c r="L33" s="14"/>
      <c r="M33" s="14"/>
      <c r="N33" s="14"/>
      <c r="O33" s="14"/>
    </row>
    <row r="34" spans="1:15">
      <c r="B34" s="141"/>
      <c r="F34" s="66"/>
      <c r="G34" s="66"/>
      <c r="H34" s="66"/>
      <c r="I34" s="66"/>
      <c r="J34" s="66"/>
    </row>
    <row r="35" spans="1:15" ht="16.2">
      <c r="B35" s="133" t="s">
        <v>31</v>
      </c>
      <c r="F35" s="67"/>
      <c r="G35" s="67"/>
      <c r="H35" s="67"/>
      <c r="I35" s="67"/>
      <c r="J35" s="67"/>
    </row>
    <row r="36" spans="1:15">
      <c r="A36" s="135" t="s">
        <v>199</v>
      </c>
      <c r="B36" s="61" t="s">
        <v>174</v>
      </c>
      <c r="F36" s="17">
        <v>70000</v>
      </c>
      <c r="G36" s="17">
        <v>70000</v>
      </c>
      <c r="H36" s="17">
        <v>70000</v>
      </c>
      <c r="I36" s="17">
        <v>70000</v>
      </c>
      <c r="J36" s="17">
        <v>70000</v>
      </c>
    </row>
    <row r="37" spans="1:15">
      <c r="A37" s="135" t="s">
        <v>200</v>
      </c>
      <c r="B37" s="61" t="s">
        <v>175</v>
      </c>
      <c r="F37" s="67"/>
      <c r="G37" s="67"/>
      <c r="H37" s="67"/>
      <c r="I37" s="67"/>
      <c r="J37" s="67"/>
    </row>
    <row r="38" spans="1:15">
      <c r="A38" s="135" t="s">
        <v>201</v>
      </c>
      <c r="B38" s="61" t="s">
        <v>33</v>
      </c>
      <c r="F38" s="17">
        <v>2474</v>
      </c>
      <c r="G38" s="17">
        <v>14265</v>
      </c>
      <c r="H38" s="17">
        <v>35340</v>
      </c>
      <c r="I38" s="17">
        <v>62053</v>
      </c>
      <c r="J38" s="17">
        <v>90280</v>
      </c>
    </row>
    <row r="39" spans="1:15">
      <c r="A39" s="135" t="s">
        <v>202</v>
      </c>
      <c r="B39" s="61" t="s">
        <v>176</v>
      </c>
      <c r="F39" s="67"/>
      <c r="G39" s="67"/>
      <c r="H39" s="67"/>
      <c r="I39" s="67"/>
      <c r="J39" s="67"/>
    </row>
    <row r="40" spans="1:15">
      <c r="A40" s="135" t="s">
        <v>203</v>
      </c>
      <c r="B40" s="61" t="s">
        <v>177</v>
      </c>
      <c r="F40" s="67"/>
      <c r="G40" s="67"/>
      <c r="H40" s="67"/>
      <c r="I40" s="67"/>
      <c r="J40" s="67"/>
    </row>
    <row r="41" spans="1:15">
      <c r="A41" s="135" t="s">
        <v>204</v>
      </c>
      <c r="B41" s="61" t="s">
        <v>178</v>
      </c>
      <c r="F41" s="67"/>
      <c r="G41" s="67"/>
      <c r="H41" s="67"/>
      <c r="I41" s="67"/>
      <c r="J41" s="67"/>
    </row>
    <row r="42" spans="1:15">
      <c r="B42" s="142" t="s">
        <v>31</v>
      </c>
      <c r="C42" s="14"/>
      <c r="D42" s="14"/>
      <c r="E42" s="137"/>
      <c r="F42" s="65">
        <f>SUM(F36:F41)</f>
        <v>72474</v>
      </c>
      <c r="G42" s="65">
        <f>SUM(G36:G41)</f>
        <v>84265</v>
      </c>
      <c r="H42" s="65">
        <f>SUM(H36:H41)</f>
        <v>105340</v>
      </c>
      <c r="I42" s="65">
        <f>SUM(I36:I41)</f>
        <v>132053</v>
      </c>
      <c r="J42" s="65">
        <f>SUM(J36:J41)</f>
        <v>160280</v>
      </c>
      <c r="K42" s="14"/>
      <c r="L42" s="14"/>
      <c r="M42" s="14"/>
      <c r="N42" s="14"/>
      <c r="O42" s="14"/>
    </row>
    <row r="43" spans="1:15">
      <c r="B43" s="143"/>
      <c r="C43" s="73"/>
      <c r="D43" s="73"/>
      <c r="E43" s="138"/>
      <c r="F43" s="134"/>
      <c r="G43" s="134"/>
      <c r="H43" s="134"/>
      <c r="I43" s="134"/>
      <c r="J43" s="134"/>
      <c r="K43" s="73"/>
      <c r="L43" s="73"/>
      <c r="M43" s="73"/>
      <c r="N43" s="73"/>
      <c r="O43" s="73"/>
    </row>
    <row r="44" spans="1:15" ht="15" thickBot="1">
      <c r="B44" s="144" t="s">
        <v>34</v>
      </c>
      <c r="C44" s="131"/>
      <c r="D44" s="131"/>
      <c r="E44" s="139"/>
      <c r="F44" s="130">
        <f>F33+F42</f>
        <v>126376</v>
      </c>
      <c r="G44" s="130">
        <f>G33+G42</f>
        <v>134065</v>
      </c>
      <c r="H44" s="130">
        <f>H33+H42</f>
        <v>150252</v>
      </c>
      <c r="I44" s="130">
        <f>I33+I42</f>
        <v>172319</v>
      </c>
      <c r="J44" s="130">
        <f>J33+J42</f>
        <v>195950</v>
      </c>
      <c r="K44" s="131"/>
      <c r="L44" s="131"/>
      <c r="M44" s="131"/>
      <c r="N44" s="131"/>
      <c r="O44" s="131"/>
    </row>
    <row r="45" spans="1:15" ht="15" thickTop="1"/>
    <row r="46" spans="1:15">
      <c r="B46" s="61" t="s">
        <v>35</v>
      </c>
      <c r="F46" t="b">
        <f t="shared" ref="F46:O46" si="0">F44=F18</f>
        <v>1</v>
      </c>
      <c r="G46" t="b">
        <f t="shared" si="0"/>
        <v>0</v>
      </c>
      <c r="H46" t="b">
        <f t="shared" si="0"/>
        <v>0</v>
      </c>
      <c r="I46" t="b">
        <f t="shared" si="0"/>
        <v>0</v>
      </c>
      <c r="J46" t="b">
        <f t="shared" si="0"/>
        <v>1</v>
      </c>
      <c r="K46" t="b">
        <f t="shared" si="0"/>
        <v>1</v>
      </c>
      <c r="L46" t="b">
        <f t="shared" si="0"/>
        <v>1</v>
      </c>
      <c r="M46" t="b">
        <f t="shared" si="0"/>
        <v>1</v>
      </c>
      <c r="N46" t="b">
        <f t="shared" si="0"/>
        <v>1</v>
      </c>
      <c r="O46" t="b">
        <f t="shared" si="0"/>
        <v>1</v>
      </c>
    </row>
  </sheetData>
  <mergeCells count="2">
    <mergeCell ref="F2:J2"/>
    <mergeCell ref="K2:O2"/>
  </mergeCells>
  <conditionalFormatting sqref="F46:O46">
    <cfRule type="cellIs" dxfId="2" priority="1" operator="equal">
      <formula>$I$65</formula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E9A28-8AB1-48F1-9FD0-734A3B33C8EA}">
  <dimension ref="B1:Q22"/>
  <sheetViews>
    <sheetView showGridLines="0" zoomScale="205" zoomScaleNormal="205" workbookViewId="0">
      <pane ySplit="3" topLeftCell="A4" activePane="bottomLeft" state="frozen"/>
      <selection pane="bottomLeft" activeCell="F12" sqref="F12:J12"/>
    </sheetView>
  </sheetViews>
  <sheetFormatPr defaultRowHeight="14.4"/>
  <sheetData>
    <row r="1" spans="2:17" ht="20.399999999999999">
      <c r="B1" s="145" t="s">
        <v>84</v>
      </c>
      <c r="E1" s="132"/>
    </row>
    <row r="2" spans="2:17">
      <c r="B2" s="61"/>
      <c r="E2" s="132"/>
      <c r="F2" s="153" t="s">
        <v>1</v>
      </c>
      <c r="G2" s="153"/>
      <c r="H2" s="153"/>
      <c r="I2" s="153"/>
      <c r="J2" s="153"/>
      <c r="K2" s="153" t="s">
        <v>2</v>
      </c>
      <c r="L2" s="153"/>
      <c r="M2" s="153"/>
      <c r="N2" s="153"/>
      <c r="O2" s="153"/>
    </row>
    <row r="3" spans="2:17">
      <c r="B3" s="61"/>
      <c r="E3" s="132"/>
      <c r="F3" s="3">
        <v>2021</v>
      </c>
      <c r="G3" s="3">
        <v>2022</v>
      </c>
      <c r="H3" s="3">
        <v>2023</v>
      </c>
      <c r="I3" s="3">
        <v>2024</v>
      </c>
      <c r="J3" s="3">
        <v>2025</v>
      </c>
      <c r="K3" s="62">
        <v>2026</v>
      </c>
      <c r="L3" s="62">
        <v>2027</v>
      </c>
      <c r="M3" s="62">
        <v>2028</v>
      </c>
      <c r="N3" s="62">
        <v>2029</v>
      </c>
      <c r="O3" s="62">
        <v>2030</v>
      </c>
      <c r="Q3" t="s">
        <v>109</v>
      </c>
    </row>
    <row r="4" spans="2:17">
      <c r="B4" s="27" t="s">
        <v>36</v>
      </c>
    </row>
    <row r="5" spans="2:17">
      <c r="B5" s="66" t="s">
        <v>205</v>
      </c>
      <c r="F5" s="17">
        <v>2474</v>
      </c>
      <c r="G5" s="17">
        <v>11791</v>
      </c>
      <c r="H5" s="17">
        <v>21075</v>
      </c>
      <c r="I5" s="17">
        <v>26713</v>
      </c>
      <c r="J5" s="17">
        <v>28227</v>
      </c>
    </row>
    <row r="6" spans="2:17">
      <c r="B6" s="66" t="s">
        <v>37</v>
      </c>
      <c r="C6" s="10"/>
      <c r="F6" s="17">
        <v>19500</v>
      </c>
      <c r="G6" s="17">
        <v>18150</v>
      </c>
      <c r="H6" s="17">
        <v>17205</v>
      </c>
      <c r="I6" s="17">
        <v>16544</v>
      </c>
      <c r="J6" s="17">
        <v>16080</v>
      </c>
    </row>
    <row r="7" spans="2:17">
      <c r="B7" s="66" t="s">
        <v>206</v>
      </c>
      <c r="C7" s="10"/>
      <c r="F7" s="17"/>
      <c r="G7" s="17"/>
      <c r="H7" s="17"/>
      <c r="I7" s="17"/>
      <c r="J7" s="17"/>
    </row>
    <row r="8" spans="2:17">
      <c r="B8" s="66" t="s">
        <v>38</v>
      </c>
      <c r="C8" s="10"/>
      <c r="F8" s="17">
        <v>9003</v>
      </c>
      <c r="G8" s="17">
        <v>1702</v>
      </c>
      <c r="H8" s="17">
        <v>775</v>
      </c>
      <c r="I8" s="17">
        <v>902</v>
      </c>
      <c r="J8" s="17">
        <v>828</v>
      </c>
    </row>
    <row r="9" spans="2:17">
      <c r="B9" s="68" t="s">
        <v>39</v>
      </c>
      <c r="C9" s="11"/>
      <c r="F9" s="68">
        <f t="shared" ref="F9:J9" si="0">F5+F6-F8</f>
        <v>12971</v>
      </c>
      <c r="G9" s="68">
        <f t="shared" si="0"/>
        <v>28239</v>
      </c>
      <c r="H9" s="68">
        <f t="shared" si="0"/>
        <v>37505</v>
      </c>
      <c r="I9" s="68">
        <f t="shared" si="0"/>
        <v>42355</v>
      </c>
      <c r="J9" s="68">
        <f t="shared" si="0"/>
        <v>43479</v>
      </c>
    </row>
    <row r="10" spans="2:17">
      <c r="B10" s="27"/>
      <c r="F10" s="16"/>
      <c r="G10" s="16"/>
      <c r="H10" s="16"/>
      <c r="I10" s="16"/>
      <c r="J10" s="16"/>
    </row>
    <row r="11" spans="2:17">
      <c r="B11" s="27" t="s">
        <v>40</v>
      </c>
      <c r="F11" s="17"/>
      <c r="G11" s="17"/>
      <c r="H11" s="17"/>
      <c r="I11" s="17"/>
      <c r="J11" s="17"/>
    </row>
    <row r="12" spans="2:17">
      <c r="B12" s="66" t="s">
        <v>41</v>
      </c>
      <c r="F12" s="17">
        <v>15000</v>
      </c>
      <c r="G12" s="17">
        <v>15000</v>
      </c>
      <c r="H12" s="17">
        <v>15000</v>
      </c>
      <c r="I12" s="17">
        <v>15000</v>
      </c>
      <c r="J12" s="17">
        <v>15000</v>
      </c>
    </row>
    <row r="13" spans="2:17">
      <c r="B13" s="68" t="s">
        <v>42</v>
      </c>
      <c r="F13" s="68">
        <f t="shared" ref="F13:J13" si="1">SUM(F12)</f>
        <v>15000</v>
      </c>
      <c r="G13" s="68">
        <f t="shared" si="1"/>
        <v>15000</v>
      </c>
      <c r="H13" s="68">
        <f t="shared" si="1"/>
        <v>15000</v>
      </c>
      <c r="I13" s="68">
        <f t="shared" si="1"/>
        <v>15000</v>
      </c>
      <c r="J13" s="68">
        <f t="shared" si="1"/>
        <v>15000</v>
      </c>
    </row>
    <row r="14" spans="2:17">
      <c r="B14" s="27"/>
      <c r="F14" s="16"/>
      <c r="G14" s="16"/>
      <c r="H14" s="16"/>
      <c r="I14" s="16"/>
      <c r="J14" s="16"/>
    </row>
    <row r="15" spans="2:17">
      <c r="B15" s="27" t="s">
        <v>43</v>
      </c>
      <c r="F15" s="17"/>
      <c r="G15" s="17"/>
      <c r="H15" s="17"/>
      <c r="I15" s="17"/>
      <c r="J15" s="17"/>
    </row>
    <row r="16" spans="2:17">
      <c r="B16" s="66" t="s">
        <v>44</v>
      </c>
      <c r="F16" s="17">
        <v>0</v>
      </c>
      <c r="G16" s="17">
        <v>0</v>
      </c>
      <c r="H16" s="17">
        <v>-20000</v>
      </c>
      <c r="I16" s="17">
        <v>0</v>
      </c>
      <c r="J16" s="17">
        <v>0</v>
      </c>
    </row>
    <row r="17" spans="2:15">
      <c r="B17" s="66" t="s">
        <v>45</v>
      </c>
      <c r="F17" s="17">
        <v>70000</v>
      </c>
      <c r="G17" s="17">
        <v>0</v>
      </c>
      <c r="H17" s="17">
        <v>0</v>
      </c>
      <c r="I17" s="17">
        <v>0</v>
      </c>
      <c r="J17" s="17">
        <v>0</v>
      </c>
    </row>
    <row r="18" spans="2:15">
      <c r="B18" s="68" t="s">
        <v>46</v>
      </c>
      <c r="C18" s="12"/>
      <c r="D18" s="12"/>
      <c r="E18" s="12"/>
      <c r="F18" s="68">
        <f t="shared" ref="F18:J18" si="2">SUM(F16:F17)</f>
        <v>70000</v>
      </c>
      <c r="G18" s="68">
        <f t="shared" si="2"/>
        <v>0</v>
      </c>
      <c r="H18" s="68">
        <f t="shared" si="2"/>
        <v>-20000</v>
      </c>
      <c r="I18" s="68">
        <f t="shared" si="2"/>
        <v>0</v>
      </c>
      <c r="J18" s="68">
        <f t="shared" si="2"/>
        <v>0</v>
      </c>
      <c r="K18" s="27"/>
      <c r="L18" s="27"/>
      <c r="M18" s="27"/>
      <c r="N18" s="27"/>
      <c r="O18" s="27"/>
    </row>
    <row r="19" spans="2:15">
      <c r="B19" s="27"/>
      <c r="F19" s="16"/>
      <c r="G19" s="16"/>
      <c r="H19" s="16"/>
      <c r="I19" s="16"/>
      <c r="J19" s="16"/>
    </row>
    <row r="20" spans="2:15">
      <c r="B20" s="66" t="s">
        <v>47</v>
      </c>
      <c r="F20" s="66">
        <f t="shared" ref="F20:J20" si="3">F9-F13+F18</f>
        <v>67971</v>
      </c>
      <c r="G20" s="66">
        <f t="shared" si="3"/>
        <v>13239</v>
      </c>
      <c r="H20" s="66">
        <f t="shared" si="3"/>
        <v>2505</v>
      </c>
      <c r="I20" s="66">
        <f t="shared" si="3"/>
        <v>27355</v>
      </c>
      <c r="J20" s="66">
        <f t="shared" si="3"/>
        <v>28479</v>
      </c>
    </row>
    <row r="21" spans="2:15">
      <c r="B21" s="66" t="s">
        <v>48</v>
      </c>
      <c r="F21" s="17">
        <v>0</v>
      </c>
      <c r="G21" s="66">
        <f t="shared" ref="G21:J21" si="4">F22</f>
        <v>67971</v>
      </c>
      <c r="H21" s="66">
        <f t="shared" si="4"/>
        <v>81210</v>
      </c>
      <c r="I21" s="66">
        <f t="shared" si="4"/>
        <v>83715</v>
      </c>
      <c r="J21" s="66">
        <f t="shared" si="4"/>
        <v>111070</v>
      </c>
    </row>
    <row r="22" spans="2:15">
      <c r="B22" s="68" t="s">
        <v>49</v>
      </c>
      <c r="F22" s="68">
        <f t="shared" ref="F22:J22" si="5">SUM(F20:F21)</f>
        <v>67971</v>
      </c>
      <c r="G22" s="68">
        <f t="shared" si="5"/>
        <v>81210</v>
      </c>
      <c r="H22" s="68">
        <f t="shared" si="5"/>
        <v>83715</v>
      </c>
      <c r="I22" s="68">
        <f t="shared" si="5"/>
        <v>111070</v>
      </c>
      <c r="J22" s="68">
        <f t="shared" si="5"/>
        <v>139549</v>
      </c>
    </row>
  </sheetData>
  <mergeCells count="2">
    <mergeCell ref="F2:J2"/>
    <mergeCell ref="K2:O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A6DA1-D2E3-4036-9794-EE3C0B3F92EC}">
  <dimension ref="A1:Q28"/>
  <sheetViews>
    <sheetView showGridLines="0" zoomScale="145" zoomScaleNormal="145" workbookViewId="0">
      <pane ySplit="3" topLeftCell="A16" activePane="bottomLeft" state="frozen"/>
      <selection pane="bottomLeft" activeCell="J21" sqref="J21"/>
    </sheetView>
  </sheetViews>
  <sheetFormatPr defaultRowHeight="14.4"/>
  <cols>
    <col min="3" max="3" width="9" customWidth="1"/>
  </cols>
  <sheetData>
    <row r="1" spans="1:17" ht="20.399999999999999">
      <c r="B1" s="145" t="s">
        <v>50</v>
      </c>
      <c r="E1" s="132"/>
    </row>
    <row r="2" spans="1:17">
      <c r="B2" s="61"/>
      <c r="E2" s="132"/>
      <c r="F2" s="153" t="s">
        <v>1</v>
      </c>
      <c r="G2" s="153"/>
      <c r="H2" s="153"/>
      <c r="I2" s="153"/>
      <c r="J2" s="153"/>
      <c r="K2" s="153" t="s">
        <v>2</v>
      </c>
      <c r="L2" s="153"/>
      <c r="M2" s="153"/>
      <c r="N2" s="153"/>
      <c r="O2" s="153"/>
    </row>
    <row r="3" spans="1:17">
      <c r="B3" s="61"/>
      <c r="E3" s="132"/>
      <c r="F3" s="3">
        <v>2021</v>
      </c>
      <c r="G3" s="3">
        <v>2022</v>
      </c>
      <c r="H3" s="3">
        <v>2023</v>
      </c>
      <c r="I3" s="3">
        <v>2024</v>
      </c>
      <c r="J3" s="3">
        <v>2025</v>
      </c>
      <c r="K3" s="62">
        <v>2026</v>
      </c>
      <c r="L3" s="62">
        <v>2027</v>
      </c>
      <c r="M3" s="62">
        <v>2028</v>
      </c>
      <c r="N3" s="62">
        <v>2029</v>
      </c>
      <c r="O3" s="62">
        <v>2030</v>
      </c>
      <c r="Q3" t="s">
        <v>109</v>
      </c>
    </row>
    <row r="4" spans="1:17" s="159" customFormat="1">
      <c r="B4" s="160"/>
      <c r="E4" s="161"/>
      <c r="F4" s="162"/>
      <c r="G4" s="162"/>
      <c r="H4" s="162"/>
      <c r="I4" s="162"/>
      <c r="J4" s="162"/>
      <c r="K4" s="163"/>
      <c r="L4" s="163"/>
      <c r="M4" s="163"/>
      <c r="N4" s="163"/>
      <c r="O4" s="163"/>
    </row>
    <row r="5" spans="1:17" s="158" customFormat="1">
      <c r="B5" s="165" t="s">
        <v>51</v>
      </c>
      <c r="C5" s="164"/>
      <c r="D5" s="164"/>
      <c r="E5" s="164"/>
      <c r="F5" s="164"/>
      <c r="G5" s="164"/>
      <c r="H5" s="164"/>
      <c r="I5" s="164"/>
      <c r="J5" s="164"/>
      <c r="K5" s="164"/>
      <c r="L5" s="164"/>
      <c r="M5" s="164"/>
      <c r="N5" s="164"/>
      <c r="O5" s="164"/>
    </row>
    <row r="6" spans="1:17">
      <c r="A6" s="150" t="s">
        <v>210</v>
      </c>
      <c r="B6" t="s">
        <v>23</v>
      </c>
      <c r="F6" s="69">
        <f>BS!F7</f>
        <v>5100</v>
      </c>
      <c r="G6" s="69">
        <f>BS!G7</f>
        <v>5904</v>
      </c>
      <c r="H6" s="69">
        <f>BS!H7</f>
        <v>6567</v>
      </c>
      <c r="I6" s="69">
        <f>BS!I7</f>
        <v>7117</v>
      </c>
      <c r="J6" s="69">
        <f>BS!J7</f>
        <v>7538</v>
      </c>
      <c r="K6" s="66"/>
      <c r="L6" s="66"/>
      <c r="M6" s="66"/>
      <c r="N6" s="66"/>
      <c r="O6" s="66"/>
    </row>
    <row r="7" spans="1:17">
      <c r="A7" s="150" t="s">
        <v>210</v>
      </c>
      <c r="B7" t="s">
        <v>24</v>
      </c>
      <c r="F7" s="69">
        <f>BS!F8</f>
        <v>7805</v>
      </c>
      <c r="G7" s="69">
        <f>BS!G8</f>
        <v>9601</v>
      </c>
      <c r="H7" s="69">
        <f>BS!H8</f>
        <v>9825</v>
      </c>
      <c r="I7" s="69">
        <f>BS!I8</f>
        <v>10531</v>
      </c>
      <c r="J7" s="69">
        <f>BS!J8</f>
        <v>11342</v>
      </c>
      <c r="K7" s="66"/>
      <c r="L7" s="66"/>
      <c r="M7" s="66"/>
      <c r="N7" s="66"/>
      <c r="O7" s="66"/>
    </row>
    <row r="8" spans="1:17">
      <c r="A8" s="150" t="s">
        <v>210</v>
      </c>
      <c r="B8" t="s">
        <v>153</v>
      </c>
      <c r="F8" s="66">
        <f>BS!F9</f>
        <v>0</v>
      </c>
      <c r="G8" s="66">
        <f>BS!G9</f>
        <v>0</v>
      </c>
      <c r="H8" s="66">
        <f>BS!H9</f>
        <v>0</v>
      </c>
      <c r="I8" s="66">
        <f>BS!I9</f>
        <v>0</v>
      </c>
      <c r="J8" s="66">
        <f>BS!J9</f>
        <v>0</v>
      </c>
      <c r="K8" s="66"/>
      <c r="L8" s="66"/>
      <c r="M8" s="66"/>
      <c r="N8" s="66"/>
      <c r="O8" s="66"/>
    </row>
    <row r="9" spans="1:17">
      <c r="B9" s="146" t="s">
        <v>207</v>
      </c>
      <c r="C9" s="14"/>
      <c r="D9" s="14"/>
      <c r="E9" s="14"/>
      <c r="F9" s="65">
        <f>SUM(F6:F8)</f>
        <v>12905</v>
      </c>
      <c r="G9" s="65">
        <f t="shared" ref="G9:J9" si="0">SUM(G6:G8)</f>
        <v>15505</v>
      </c>
      <c r="H9" s="65">
        <f t="shared" si="0"/>
        <v>16392</v>
      </c>
      <c r="I9" s="65">
        <f t="shared" si="0"/>
        <v>17648</v>
      </c>
      <c r="J9" s="65">
        <f t="shared" si="0"/>
        <v>18880</v>
      </c>
      <c r="K9" s="65"/>
      <c r="L9" s="65"/>
      <c r="M9" s="65"/>
      <c r="N9" s="65"/>
      <c r="O9" s="65"/>
    </row>
    <row r="10" spans="1:17">
      <c r="A10" s="150" t="s">
        <v>210</v>
      </c>
      <c r="B10" t="s">
        <v>28</v>
      </c>
      <c r="F10" s="69">
        <f>BS!F22</f>
        <v>3902</v>
      </c>
      <c r="G10" s="69">
        <f>BS!G22</f>
        <v>4800</v>
      </c>
      <c r="H10" s="69">
        <f>BS!H22</f>
        <v>4912</v>
      </c>
      <c r="I10" s="69">
        <f>BS!I22</f>
        <v>5266</v>
      </c>
      <c r="J10" s="69">
        <f>BS!J22</f>
        <v>5670</v>
      </c>
      <c r="K10" s="66"/>
      <c r="L10" s="66"/>
      <c r="M10" s="66"/>
      <c r="N10" s="66"/>
      <c r="O10" s="66"/>
    </row>
    <row r="11" spans="1:17">
      <c r="A11" s="150" t="s">
        <v>210</v>
      </c>
      <c r="B11" t="s">
        <v>165</v>
      </c>
      <c r="F11" s="69">
        <f>BS!F24</f>
        <v>0</v>
      </c>
      <c r="G11" s="69">
        <f>BS!G24</f>
        <v>0</v>
      </c>
      <c r="H11" s="69">
        <f>BS!H24</f>
        <v>0</v>
      </c>
      <c r="I11" s="69">
        <f>BS!I24</f>
        <v>0</v>
      </c>
      <c r="J11" s="69">
        <f>BS!J24</f>
        <v>0</v>
      </c>
      <c r="K11" s="17"/>
      <c r="L11" s="17"/>
      <c r="M11" s="17"/>
      <c r="N11" s="17"/>
      <c r="O11" s="17"/>
    </row>
    <row r="12" spans="1:17">
      <c r="A12" s="150" t="s">
        <v>210</v>
      </c>
      <c r="B12" t="s">
        <v>208</v>
      </c>
      <c r="F12" s="69">
        <f>BS!F26</f>
        <v>0</v>
      </c>
      <c r="G12" s="69">
        <f>BS!G26</f>
        <v>0</v>
      </c>
      <c r="H12" s="69">
        <f>BS!H26</f>
        <v>0</v>
      </c>
      <c r="I12" s="69">
        <f>BS!I26</f>
        <v>0</v>
      </c>
      <c r="J12" s="69">
        <f>BS!J26</f>
        <v>0</v>
      </c>
      <c r="K12" s="17"/>
      <c r="L12" s="17"/>
      <c r="M12" s="17"/>
      <c r="N12" s="17"/>
      <c r="O12" s="17"/>
    </row>
    <row r="13" spans="1:17">
      <c r="B13" s="146" t="s">
        <v>209</v>
      </c>
      <c r="C13" s="14"/>
      <c r="D13" s="14"/>
      <c r="E13" s="14"/>
      <c r="F13" s="23">
        <f>SUM(F10:F12)</f>
        <v>3902</v>
      </c>
      <c r="G13" s="23">
        <f t="shared" ref="G13:J13" si="1">SUM(G10:G12)</f>
        <v>4800</v>
      </c>
      <c r="H13" s="23">
        <f t="shared" si="1"/>
        <v>4912</v>
      </c>
      <c r="I13" s="23">
        <f t="shared" si="1"/>
        <v>5266</v>
      </c>
      <c r="J13" s="23">
        <f t="shared" si="1"/>
        <v>5670</v>
      </c>
      <c r="K13" s="147"/>
      <c r="L13" s="147"/>
      <c r="M13" s="147"/>
      <c r="N13" s="147"/>
      <c r="O13" s="147"/>
    </row>
    <row r="14" spans="1:17">
      <c r="B14" s="149" t="s">
        <v>52</v>
      </c>
      <c r="C14" s="73"/>
      <c r="D14" s="73"/>
      <c r="E14" s="73"/>
      <c r="F14" s="76">
        <f>F9-F13</f>
        <v>9003</v>
      </c>
      <c r="G14" s="76">
        <f t="shared" ref="G14:J14" si="2">G9-G13</f>
        <v>10705</v>
      </c>
      <c r="H14" s="76">
        <f t="shared" si="2"/>
        <v>11480</v>
      </c>
      <c r="I14" s="76">
        <f t="shared" si="2"/>
        <v>12382</v>
      </c>
      <c r="J14" s="76">
        <f t="shared" si="2"/>
        <v>13210</v>
      </c>
      <c r="K14" s="74"/>
      <c r="L14" s="74"/>
      <c r="M14" s="74"/>
      <c r="N14" s="74"/>
      <c r="O14" s="74"/>
    </row>
    <row r="15" spans="1:17">
      <c r="B15" s="79" t="s">
        <v>53</v>
      </c>
      <c r="C15" s="81"/>
      <c r="D15" s="81"/>
      <c r="E15" s="81"/>
      <c r="F15" s="148"/>
      <c r="G15" s="82">
        <f>G14-F14</f>
        <v>1702</v>
      </c>
      <c r="H15" s="82">
        <f t="shared" ref="H15:J15" si="3">H14-G14</f>
        <v>775</v>
      </c>
      <c r="I15" s="82">
        <f t="shared" si="3"/>
        <v>902</v>
      </c>
      <c r="J15" s="82">
        <f t="shared" si="3"/>
        <v>828</v>
      </c>
      <c r="K15" s="148"/>
      <c r="L15" s="148"/>
      <c r="M15" s="148"/>
      <c r="N15" s="148"/>
      <c r="O15" s="148"/>
    </row>
    <row r="16" spans="1:17">
      <c r="B16" s="66"/>
      <c r="F16" s="17"/>
      <c r="G16" s="17"/>
      <c r="H16" s="17"/>
      <c r="I16" s="17"/>
      <c r="J16" s="17"/>
      <c r="K16" s="17"/>
      <c r="L16" s="17"/>
      <c r="M16" s="17"/>
      <c r="N16" s="17"/>
      <c r="O16" s="17"/>
    </row>
    <row r="17" spans="2:15">
      <c r="B17" s="66"/>
      <c r="F17" s="17"/>
      <c r="G17" s="17"/>
      <c r="H17" s="17"/>
      <c r="I17" s="17"/>
      <c r="J17" s="17"/>
      <c r="K17" s="17"/>
      <c r="L17" s="17"/>
      <c r="M17" s="17"/>
      <c r="N17" s="17"/>
      <c r="O17" s="17"/>
    </row>
    <row r="18" spans="2:15">
      <c r="B18" s="166" t="s">
        <v>54</v>
      </c>
      <c r="C18" s="167"/>
      <c r="D18" s="167"/>
      <c r="E18" s="167"/>
      <c r="F18" s="168"/>
      <c r="G18" s="168"/>
      <c r="H18" s="168"/>
      <c r="I18" s="168"/>
      <c r="J18" s="168"/>
      <c r="K18" s="168"/>
      <c r="L18" s="168"/>
      <c r="M18" s="168"/>
      <c r="N18" s="168"/>
      <c r="O18" s="168"/>
    </row>
    <row r="19" spans="2:15">
      <c r="B19" s="66" t="s">
        <v>55</v>
      </c>
      <c r="F19" s="17">
        <v>50000.000000000007</v>
      </c>
      <c r="G19" s="66">
        <f t="shared" ref="G19:O19" si="4">F22</f>
        <v>45500.000000000007</v>
      </c>
      <c r="H19" s="66">
        <f t="shared" si="4"/>
        <v>42350.000000000007</v>
      </c>
      <c r="I19" s="66">
        <f t="shared" si="4"/>
        <v>40145.000000000007</v>
      </c>
      <c r="J19" s="66">
        <f t="shared" si="4"/>
        <v>38601.000000000007</v>
      </c>
      <c r="K19" s="66">
        <f t="shared" si="4"/>
        <v>37521.000000000007</v>
      </c>
      <c r="L19" s="66" t="e">
        <f t="shared" si="4"/>
        <v>#REF!</v>
      </c>
      <c r="M19" s="66" t="e">
        <f t="shared" si="4"/>
        <v>#REF!</v>
      </c>
      <c r="N19" s="66" t="e">
        <f t="shared" si="4"/>
        <v>#REF!</v>
      </c>
      <c r="O19" s="66" t="e">
        <f t="shared" si="4"/>
        <v>#REF!</v>
      </c>
    </row>
    <row r="20" spans="2:15">
      <c r="B20" s="66" t="s">
        <v>211</v>
      </c>
      <c r="F20" s="17">
        <v>15000</v>
      </c>
      <c r="G20" s="17">
        <v>15000</v>
      </c>
      <c r="H20" s="17">
        <v>15000</v>
      </c>
      <c r="I20" s="17">
        <v>15000</v>
      </c>
      <c r="J20" s="17">
        <v>15000</v>
      </c>
      <c r="K20" s="66" t="e">
        <f t="shared" ref="K20:O20" si="5">#REF!</f>
        <v>#REF!</v>
      </c>
      <c r="L20" s="66" t="e">
        <f t="shared" si="5"/>
        <v>#REF!</v>
      </c>
      <c r="M20" s="66" t="e">
        <f t="shared" si="5"/>
        <v>#REF!</v>
      </c>
      <c r="N20" s="66" t="e">
        <f t="shared" si="5"/>
        <v>#REF!</v>
      </c>
      <c r="O20" s="66" t="e">
        <f t="shared" si="5"/>
        <v>#REF!</v>
      </c>
    </row>
    <row r="21" spans="2:15">
      <c r="B21" s="152" t="s">
        <v>212</v>
      </c>
      <c r="C21" s="71"/>
      <c r="D21" s="71"/>
      <c r="E21" s="71"/>
      <c r="F21" s="151">
        <v>19500</v>
      </c>
      <c r="G21" s="151">
        <v>18150</v>
      </c>
      <c r="H21" s="151">
        <v>17205</v>
      </c>
      <c r="I21" s="151">
        <v>16544</v>
      </c>
      <c r="J21" s="151">
        <v>16080</v>
      </c>
      <c r="K21" s="152" t="e">
        <f>K19*#REF!</f>
        <v>#REF!</v>
      </c>
      <c r="L21" s="152" t="e">
        <f t="shared" ref="L21:O21" si="6">L19*#REF!</f>
        <v>#REF!</v>
      </c>
      <c r="M21" s="152" t="e">
        <f t="shared" si="6"/>
        <v>#REF!</v>
      </c>
      <c r="N21" s="152" t="e">
        <f t="shared" si="6"/>
        <v>#REF!</v>
      </c>
      <c r="O21" s="152" t="e">
        <f t="shared" si="6"/>
        <v>#REF!</v>
      </c>
    </row>
    <row r="22" spans="2:15">
      <c r="B22" s="169" t="s">
        <v>58</v>
      </c>
      <c r="C22" s="170"/>
      <c r="D22" s="170"/>
      <c r="E22" s="170"/>
      <c r="F22" s="169">
        <f t="shared" ref="F22:O22" si="7">F19+F20-F21</f>
        <v>45500.000000000007</v>
      </c>
      <c r="G22" s="169">
        <f t="shared" si="7"/>
        <v>42350.000000000007</v>
      </c>
      <c r="H22" s="169">
        <f t="shared" si="7"/>
        <v>40145.000000000007</v>
      </c>
      <c r="I22" s="169">
        <f t="shared" si="7"/>
        <v>38601.000000000007</v>
      </c>
      <c r="J22" s="169">
        <f t="shared" si="7"/>
        <v>37521.000000000007</v>
      </c>
      <c r="K22" s="169" t="e">
        <f t="shared" si="7"/>
        <v>#REF!</v>
      </c>
      <c r="L22" s="169" t="e">
        <f t="shared" si="7"/>
        <v>#REF!</v>
      </c>
      <c r="M22" s="169" t="e">
        <f t="shared" si="7"/>
        <v>#REF!</v>
      </c>
      <c r="N22" s="169" t="e">
        <f t="shared" si="7"/>
        <v>#REF!</v>
      </c>
      <c r="O22" s="169" t="e">
        <f t="shared" si="7"/>
        <v>#REF!</v>
      </c>
    </row>
    <row r="23" spans="2:15">
      <c r="B23" s="66"/>
      <c r="F23" s="17"/>
      <c r="G23" s="17"/>
      <c r="H23" s="17"/>
      <c r="I23" s="17"/>
      <c r="J23" s="17"/>
      <c r="K23" s="17"/>
      <c r="L23" s="17"/>
      <c r="M23" s="17"/>
      <c r="N23" s="17"/>
      <c r="O23" s="17"/>
    </row>
    <row r="24" spans="2:15">
      <c r="B24" s="166" t="s">
        <v>59</v>
      </c>
      <c r="C24" s="167"/>
      <c r="D24" s="167"/>
      <c r="E24" s="167"/>
      <c r="F24" s="168"/>
      <c r="G24" s="168"/>
      <c r="H24" s="168"/>
      <c r="I24" s="168"/>
      <c r="J24" s="168"/>
      <c r="K24" s="168"/>
      <c r="L24" s="168"/>
      <c r="M24" s="168"/>
      <c r="N24" s="168"/>
      <c r="O24" s="168"/>
    </row>
    <row r="25" spans="2:15">
      <c r="B25" s="66" t="s">
        <v>60</v>
      </c>
      <c r="F25" s="17">
        <v>50000</v>
      </c>
      <c r="G25" s="66">
        <f t="shared" ref="G25:O25" si="8">F28</f>
        <v>45000</v>
      </c>
      <c r="H25" s="66">
        <f t="shared" si="8"/>
        <v>40000</v>
      </c>
      <c r="I25" s="66">
        <f t="shared" si="8"/>
        <v>35000</v>
      </c>
      <c r="J25" s="66">
        <f t="shared" si="8"/>
        <v>30000</v>
      </c>
      <c r="K25" s="66">
        <f t="shared" si="8"/>
        <v>25000</v>
      </c>
      <c r="L25" s="66" t="e">
        <f t="shared" si="8"/>
        <v>#REF!</v>
      </c>
      <c r="M25" s="66" t="e">
        <f t="shared" si="8"/>
        <v>#REF!</v>
      </c>
      <c r="N25" s="66" t="e">
        <f t="shared" si="8"/>
        <v>#REF!</v>
      </c>
      <c r="O25" s="66" t="e">
        <f t="shared" si="8"/>
        <v>#REF!</v>
      </c>
    </row>
    <row r="26" spans="2:15">
      <c r="B26" s="66" t="s">
        <v>300</v>
      </c>
      <c r="F26" s="66">
        <v>5000</v>
      </c>
      <c r="G26" s="66">
        <v>5000</v>
      </c>
      <c r="H26" s="66">
        <v>5000</v>
      </c>
      <c r="I26" s="66">
        <v>5000</v>
      </c>
      <c r="J26" s="66">
        <v>5000</v>
      </c>
      <c r="K26" s="66" t="e">
        <f t="shared" ref="K26:O26" si="9">#REF!</f>
        <v>#REF!</v>
      </c>
      <c r="L26" s="66" t="e">
        <f t="shared" si="9"/>
        <v>#REF!</v>
      </c>
      <c r="M26" s="66" t="e">
        <f t="shared" si="9"/>
        <v>#REF!</v>
      </c>
      <c r="N26" s="66" t="e">
        <f t="shared" si="9"/>
        <v>#REF!</v>
      </c>
      <c r="O26" s="66" t="e">
        <f t="shared" si="9"/>
        <v>#REF!</v>
      </c>
    </row>
    <row r="27" spans="2:15">
      <c r="B27" s="66" t="s">
        <v>19</v>
      </c>
      <c r="D27" s="174">
        <v>0.05</v>
      </c>
      <c r="F27" s="66">
        <f>F25*$D$27</f>
        <v>2500</v>
      </c>
      <c r="G27" s="66">
        <f t="shared" ref="G27:J27" si="10">G25*$D$27</f>
        <v>2250</v>
      </c>
      <c r="H27" s="66">
        <f t="shared" si="10"/>
        <v>2000</v>
      </c>
      <c r="I27" s="66">
        <f t="shared" si="10"/>
        <v>1750</v>
      </c>
      <c r="J27" s="66">
        <f t="shared" si="10"/>
        <v>1500</v>
      </c>
      <c r="K27" s="66" t="e">
        <f>AVERAGE(K25,K28)*#REF!</f>
        <v>#REF!</v>
      </c>
      <c r="L27" s="66" t="e">
        <f>AVERAGE(L25,L28)*#REF!</f>
        <v>#REF!</v>
      </c>
      <c r="M27" s="66" t="e">
        <f>AVERAGE(M25,M28)*#REF!</f>
        <v>#REF!</v>
      </c>
      <c r="N27" s="66" t="e">
        <f>AVERAGE(N25,N28)*#REF!</f>
        <v>#REF!</v>
      </c>
      <c r="O27" s="66" t="e">
        <f>AVERAGE(O25,O28)*#REF!</f>
        <v>#REF!</v>
      </c>
    </row>
    <row r="28" spans="2:15">
      <c r="B28" s="134" t="s">
        <v>62</v>
      </c>
      <c r="C28" s="73"/>
      <c r="D28" s="73"/>
      <c r="E28" s="73"/>
      <c r="F28" s="134">
        <f>F25-F26</f>
        <v>45000</v>
      </c>
      <c r="G28" s="134">
        <f t="shared" ref="G28:J28" si="11">G25-G26</f>
        <v>40000</v>
      </c>
      <c r="H28" s="134">
        <f t="shared" si="11"/>
        <v>35000</v>
      </c>
      <c r="I28" s="134">
        <f t="shared" si="11"/>
        <v>30000</v>
      </c>
      <c r="J28" s="134">
        <f t="shared" si="11"/>
        <v>25000</v>
      </c>
      <c r="K28" s="134" t="e">
        <f t="shared" ref="F28:O28" si="12">K25+K26</f>
        <v>#REF!</v>
      </c>
      <c r="L28" s="134" t="e">
        <f t="shared" si="12"/>
        <v>#REF!</v>
      </c>
      <c r="M28" s="134" t="e">
        <f t="shared" si="12"/>
        <v>#REF!</v>
      </c>
      <c r="N28" s="134" t="e">
        <f t="shared" si="12"/>
        <v>#REF!</v>
      </c>
      <c r="O28" s="134" t="e">
        <f t="shared" si="12"/>
        <v>#REF!</v>
      </c>
    </row>
  </sheetData>
  <mergeCells count="2">
    <mergeCell ref="F2:J2"/>
    <mergeCell ref="K2:O2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0D092-5EE3-4703-9A4A-3214EAAA5835}">
  <dimension ref="A1:N44"/>
  <sheetViews>
    <sheetView showGridLines="0" topLeftCell="A44" zoomScale="130" zoomScaleNormal="130" workbookViewId="0">
      <selection activeCell="F52" sqref="F52"/>
    </sheetView>
  </sheetViews>
  <sheetFormatPr defaultRowHeight="14.4" outlineLevelRow="1" outlineLevelCol="1"/>
  <cols>
    <col min="1" max="1" width="4.33203125" customWidth="1"/>
    <col min="2" max="2" width="19.88671875" customWidth="1"/>
    <col min="3" max="3" width="29" hidden="1" customWidth="1" outlineLevel="1"/>
    <col min="4" max="4" width="13.21875" hidden="1" customWidth="1" outlineLevel="1"/>
    <col min="5" max="5" width="13.33203125" customWidth="1" collapsed="1"/>
    <col min="6" max="14" width="13.33203125" customWidth="1"/>
  </cols>
  <sheetData>
    <row r="1" spans="2:14" ht="20.399999999999999">
      <c r="B1" s="22" t="s">
        <v>213</v>
      </c>
    </row>
    <row r="2" spans="2:14">
      <c r="E2" s="153" t="s">
        <v>1</v>
      </c>
      <c r="F2" s="153"/>
      <c r="G2" s="153"/>
      <c r="H2" s="153"/>
      <c r="I2" s="153"/>
      <c r="J2" s="153" t="s">
        <v>2</v>
      </c>
      <c r="K2" s="153"/>
      <c r="L2" s="153"/>
      <c r="M2" s="153"/>
      <c r="N2" s="153"/>
    </row>
    <row r="3" spans="2:14">
      <c r="E3" s="3">
        <v>2021</v>
      </c>
      <c r="F3" s="3">
        <v>2022</v>
      </c>
      <c r="G3" s="3">
        <v>2023</v>
      </c>
      <c r="H3" s="3">
        <v>2024</v>
      </c>
      <c r="I3" s="3">
        <v>2025</v>
      </c>
      <c r="J3" s="62">
        <v>2026</v>
      </c>
      <c r="K3" s="62">
        <v>2027</v>
      </c>
      <c r="L3" s="62">
        <v>2028</v>
      </c>
      <c r="M3" s="62">
        <v>2029</v>
      </c>
      <c r="N3" s="62">
        <v>2030</v>
      </c>
    </row>
    <row r="6" spans="2:14" ht="15.6" outlineLevel="1">
      <c r="B6" s="1" t="s">
        <v>86</v>
      </c>
      <c r="C6" s="1"/>
      <c r="D6" s="1" t="s">
        <v>85</v>
      </c>
      <c r="E6" s="1"/>
      <c r="F6" s="1"/>
      <c r="G6" s="1"/>
      <c r="H6" s="1"/>
      <c r="I6" s="1"/>
      <c r="J6" s="1"/>
      <c r="K6" s="1"/>
      <c r="L6" s="1"/>
      <c r="M6" s="1"/>
      <c r="N6" s="1"/>
    </row>
    <row r="7" spans="2:14" ht="15" outlineLevel="1">
      <c r="B7" s="132" t="s">
        <v>87</v>
      </c>
      <c r="C7" s="135" t="s">
        <v>219</v>
      </c>
      <c r="D7" s="63"/>
      <c r="E7" s="171">
        <f>IS!F9/IS!F5</f>
        <v>0.53617486598599839</v>
      </c>
      <c r="F7" s="171">
        <f>IS!G9/IS!G5</f>
        <v>0.62793653746289368</v>
      </c>
      <c r="G7" s="171">
        <f>IS!H9/IS!H5</f>
        <v>0.65627339710173327</v>
      </c>
      <c r="H7" s="171">
        <f>IS!I9/IS!I5</f>
        <v>0.62638984481987892</v>
      </c>
      <c r="I7" s="171">
        <f>IS!J9/IS!J5</f>
        <v>0.57205490616298282</v>
      </c>
      <c r="J7" s="171">
        <f>IS!K9/IS!K5</f>
        <v>0.628</v>
      </c>
      <c r="K7" s="171">
        <f>IS!L9/IS!L5</f>
        <v>0.628</v>
      </c>
      <c r="L7" s="171">
        <f>IS!M9/IS!M5</f>
        <v>0.628</v>
      </c>
      <c r="M7" s="171">
        <f>IS!N9/IS!N5</f>
        <v>0.628</v>
      </c>
      <c r="N7" s="171">
        <f>IS!O9/IS!O5</f>
        <v>0.628</v>
      </c>
    </row>
    <row r="8" spans="2:14" ht="15" outlineLevel="1">
      <c r="B8" s="132" t="s">
        <v>88</v>
      </c>
      <c r="C8" s="135" t="s">
        <v>221</v>
      </c>
      <c r="D8" s="64"/>
      <c r="E8" s="171">
        <f>IS!F12/IS!F5</f>
        <v>9.1759476067654791E-2</v>
      </c>
      <c r="F8" s="171">
        <f>IS!G12/IS!G5</f>
        <v>0.37384611807380191</v>
      </c>
      <c r="G8" s="171">
        <f>IS!H12/IS!H5</f>
        <v>0.41865330655713617</v>
      </c>
      <c r="H8" s="171">
        <f>IS!I12/IS!I5</f>
        <v>0.38498435426763072</v>
      </c>
      <c r="I8" s="171">
        <f>IS!J12/IS!J5</f>
        <v>0.29543379340009207</v>
      </c>
      <c r="J8" s="171">
        <f>IS!K12/IS!K5</f>
        <v>0.38799999999999996</v>
      </c>
      <c r="K8" s="171">
        <f>IS!L12/IS!L5</f>
        <v>0.38799999999999996</v>
      </c>
      <c r="L8" s="171">
        <f>IS!M12/IS!M5</f>
        <v>0.38799999999999996</v>
      </c>
      <c r="M8" s="171">
        <f>IS!N12/IS!N5</f>
        <v>0.38800000000000001</v>
      </c>
      <c r="N8" s="171">
        <f>IS!O12/IS!O5</f>
        <v>0.38800000000000007</v>
      </c>
    </row>
    <row r="9" spans="2:14" ht="15" outlineLevel="1">
      <c r="B9" s="132" t="s">
        <v>222</v>
      </c>
      <c r="C9" s="135" t="s">
        <v>224</v>
      </c>
      <c r="D9" s="64"/>
      <c r="E9" s="171">
        <f>IS!F15/IS!F5</f>
        <v>-0.14001640260064421</v>
      </c>
      <c r="F9" s="171">
        <f>IS!G15/IS!G5</f>
        <v>0.23317134419978144</v>
      </c>
      <c r="G9" s="171">
        <f>IS!H15/IS!H5</f>
        <v>0.2982653782371093</v>
      </c>
      <c r="H9" s="171">
        <f>IS!I15/IS!I5</f>
        <v>0.26759524029148601</v>
      </c>
      <c r="I9" s="171">
        <f>IS!J15/IS!J5</f>
        <v>0.17409087135990101</v>
      </c>
      <c r="J9" s="171">
        <f>IS!K15/IS!K5</f>
        <v>0.27713163497542137</v>
      </c>
      <c r="K9" s="171">
        <f>IS!L15/IS!L5</f>
        <v>0.28601143901823378</v>
      </c>
      <c r="L9" s="171">
        <f>IS!M15/IS!M5</f>
        <v>0.29401626093195998</v>
      </c>
      <c r="M9" s="171">
        <f>IS!N15/IS!N5</f>
        <v>0.30116466939762015</v>
      </c>
      <c r="N9" s="171">
        <f>IS!O15/IS!O5</f>
        <v>0.30764100883382733</v>
      </c>
    </row>
    <row r="10" spans="2:14" ht="15" outlineLevel="1">
      <c r="B10" s="132" t="s">
        <v>89</v>
      </c>
      <c r="C10" s="135" t="s">
        <v>226</v>
      </c>
      <c r="D10" s="64"/>
      <c r="E10" s="171">
        <f>IS!F20/IS!F5</f>
        <v>-0.11881188118811881</v>
      </c>
      <c r="F10" s="171">
        <f>IS!G20/IS!G5</f>
        <v>0.15101262585160558</v>
      </c>
      <c r="G10" s="171">
        <f>IS!H20/IS!H5</f>
        <v>0.19898959506832828</v>
      </c>
      <c r="H10" s="171">
        <f>IS!I20/IS!I5</f>
        <v>0.17862459466555028</v>
      </c>
      <c r="I10" s="171">
        <f>IS!J20/IS!J5</f>
        <v>0.11394009825154508</v>
      </c>
      <c r="J10" s="171">
        <f>IS!K20/IS!K5</f>
        <v>0.1864817068520977</v>
      </c>
      <c r="K10" s="171">
        <f>IS!L20/IS!L5</f>
        <v>0.19306880804404</v>
      </c>
      <c r="L10" s="171">
        <f>IS!M20/IS!M5</f>
        <v>0.19900566361641045</v>
      </c>
      <c r="M10" s="171">
        <f>IS!N20/IS!N5</f>
        <v>0.20430261878315562</v>
      </c>
      <c r="N10" s="171">
        <f>IS!O20/IS!O5</f>
        <v>0.2090985624263102</v>
      </c>
    </row>
    <row r="11" spans="2:14" ht="15" outlineLevel="1">
      <c r="B11" s="132" t="s">
        <v>90</v>
      </c>
      <c r="C11" s="135" t="s">
        <v>228</v>
      </c>
      <c r="D11" s="63"/>
      <c r="E11" s="172">
        <f>IS!F20/BS!F42</f>
        <v>-0.13792532494411788</v>
      </c>
      <c r="F11" s="172">
        <f>IS!G20/((BS!F42+BS!G42)/2)</f>
        <v>0.2486145758235028</v>
      </c>
      <c r="G11" s="172">
        <f>IS!H20/((BS!G42+BS!H42)/2)</f>
        <v>0.29997310197515892</v>
      </c>
      <c r="H11" s="172">
        <f>IS!I20/((BS!H42+BS!I42)/2)</f>
        <v>0.21208797226539955</v>
      </c>
      <c r="I11" s="172">
        <f>IS!J20/((BS!I42+BS!J42)/2)</f>
        <v>0.10330000376283212</v>
      </c>
      <c r="J11" s="172">
        <f>IS!K20/((BS!J42+BS!K42)/2)</f>
        <v>0.32532014157723982</v>
      </c>
      <c r="K11" s="172" t="e">
        <f>IS!L20/((BS!K42+BS!L42)/2)</f>
        <v>#DIV/0!</v>
      </c>
      <c r="L11" s="172" t="e">
        <f>IS!M20/((BS!L42+BS!M42)/2)</f>
        <v>#DIV/0!</v>
      </c>
      <c r="M11" s="172" t="e">
        <f>IS!N20/((BS!M42+BS!N42)/2)</f>
        <v>#DIV/0!</v>
      </c>
      <c r="N11" s="172" t="e">
        <f>IS!O20/((BS!N42+BS!O42)/2)</f>
        <v>#DIV/0!</v>
      </c>
    </row>
    <row r="12" spans="2:14" ht="15" outlineLevel="1">
      <c r="B12" s="132" t="s">
        <v>229</v>
      </c>
      <c r="C12" s="135" t="s">
        <v>231</v>
      </c>
      <c r="D12" s="64"/>
      <c r="E12" s="172">
        <f>IS!F20/((BS!F18))</f>
        <v>-7.9097296955118065E-2</v>
      </c>
      <c r="F12" s="172">
        <f>IS!G20/((BS!F18+BS!G18)/2)</f>
        <v>0.14680324441212927</v>
      </c>
      <c r="G12" s="172">
        <f>IS!H20/((BS!G18+BS!H18)/2)</f>
        <v>0.20362670370940544</v>
      </c>
      <c r="H12" s="172">
        <f>IS!I20/((BS!H18+BS!I18)/2)</f>
        <v>0.1636961872218122</v>
      </c>
      <c r="I12" s="172">
        <f>IS!J20/((BS!I18+BS!J18)/2)</f>
        <v>8.3128480547473085E-2</v>
      </c>
      <c r="J12" s="172">
        <f>IS!K20/((BS!J18+BS!K18)/2)</f>
        <v>0.26610008824700176</v>
      </c>
      <c r="K12" s="172" t="e">
        <f>IS!L20/((BS!K18+BS!L18)/2)</f>
        <v>#DIV/0!</v>
      </c>
      <c r="L12" s="172" t="e">
        <f>IS!M20/((BS!L18+BS!M18)/2)</f>
        <v>#DIV/0!</v>
      </c>
      <c r="M12" s="172" t="e">
        <f>IS!N20/((BS!M18+BS!N18)/2)</f>
        <v>#DIV/0!</v>
      </c>
      <c r="N12" s="172" t="e">
        <f>IS!O20/((BS!N18+BS!O18)/2)</f>
        <v>#DIV/0!</v>
      </c>
    </row>
    <row r="13" spans="2:14" ht="15" outlineLevel="1">
      <c r="B13" s="132" t="s">
        <v>232</v>
      </c>
      <c r="C13" s="135" t="s">
        <v>234</v>
      </c>
      <c r="D13" s="64"/>
      <c r="E13" s="171">
        <f>IS!F15*(1-IS!$C$19)/('Supporting Schedules'!F14+'Supporting Schedules'!F22)</f>
        <v>-0.15129442416013794</v>
      </c>
      <c r="F13" s="171">
        <f>IS!G15*(1-IS!$C$19)/('Supporting Schedules'!G14+'Supporting Schedules'!G22)</f>
        <v>0.3969239468476109</v>
      </c>
      <c r="G13" s="171">
        <f>IS!H15*(1-IS!$C$19)/('Supporting Schedules'!H14+'Supporting Schedules'!H22)</f>
        <v>0.57797966101694898</v>
      </c>
      <c r="H13" s="171">
        <f>IS!I15*(1-IS!$C$19)/('Supporting Schedules'!I14+'Supporting Schedules'!I22)</f>
        <v>0.5178020124355176</v>
      </c>
      <c r="I13" s="171">
        <f>IS!J15*(1-IS!$C$19)/('Supporting Schedules'!J14+'Supporting Schedules'!J22)</f>
        <v>0.31832607281543823</v>
      </c>
      <c r="J13" s="171" t="e">
        <f>IS!K15*(1-IS!$C$19)/('Supporting Schedules'!K14+'Supporting Schedules'!K22)</f>
        <v>#REF!</v>
      </c>
      <c r="K13" s="171" t="e">
        <f>IS!L15*(1-IS!$C$19)/('Supporting Schedules'!L14+'Supporting Schedules'!L22)</f>
        <v>#REF!</v>
      </c>
      <c r="L13" s="171" t="e">
        <f>IS!M15*(1-IS!$C$19)/('Supporting Schedules'!M14+'Supporting Schedules'!M22)</f>
        <v>#REF!</v>
      </c>
      <c r="M13" s="171" t="e">
        <f>IS!N15*(1-IS!$C$19)/('Supporting Schedules'!N14+'Supporting Schedules'!N22)</f>
        <v>#REF!</v>
      </c>
      <c r="N13" s="171" t="e">
        <f>IS!O15*(1-IS!$C$19)/('Supporting Schedules'!O14+'Supporting Schedules'!O22)</f>
        <v>#REF!</v>
      </c>
    </row>
    <row r="14" spans="2:14">
      <c r="B14" s="61"/>
      <c r="C14" s="13"/>
      <c r="D14" s="60"/>
      <c r="E14" s="60"/>
      <c r="F14" s="60"/>
      <c r="G14" s="60"/>
      <c r="H14" s="60"/>
      <c r="I14" s="60"/>
    </row>
    <row r="15" spans="2:14" ht="15.6" outlineLevel="1">
      <c r="B15" s="1" t="s">
        <v>91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2:14" outlineLevel="1">
      <c r="B16" s="111" t="s">
        <v>92</v>
      </c>
      <c r="C16" s="135" t="s">
        <v>239</v>
      </c>
      <c r="D16" s="64"/>
      <c r="E16" s="59"/>
      <c r="F16" s="59"/>
      <c r="G16" s="59"/>
      <c r="H16" s="59"/>
      <c r="I16" s="59"/>
    </row>
    <row r="17" spans="2:14" outlineLevel="1">
      <c r="B17" s="111" t="s">
        <v>240</v>
      </c>
      <c r="C17" s="135" t="s">
        <v>242</v>
      </c>
      <c r="D17" s="64"/>
      <c r="E17" s="59"/>
      <c r="F17" s="59"/>
      <c r="G17" s="59"/>
      <c r="H17" s="59"/>
      <c r="I17" s="59"/>
    </row>
    <row r="18" spans="2:14" outlineLevel="1">
      <c r="B18" s="111" t="s">
        <v>243</v>
      </c>
      <c r="C18" s="135" t="s">
        <v>245</v>
      </c>
      <c r="D18" s="64"/>
      <c r="E18" s="59"/>
      <c r="F18" s="59"/>
      <c r="G18" s="59"/>
      <c r="H18" s="59"/>
      <c r="I18" s="59"/>
    </row>
    <row r="19" spans="2:14" outlineLevel="1">
      <c r="B19" s="111" t="s">
        <v>246</v>
      </c>
      <c r="C19" s="135" t="s">
        <v>248</v>
      </c>
      <c r="D19" s="64"/>
      <c r="E19" s="59"/>
      <c r="F19" s="59"/>
      <c r="G19" s="59"/>
      <c r="H19" s="59"/>
      <c r="I19" s="59"/>
    </row>
    <row r="20" spans="2:14">
      <c r="B20" s="61"/>
      <c r="C20" s="13"/>
      <c r="D20" s="59"/>
      <c r="E20" s="59"/>
      <c r="F20" s="59"/>
      <c r="G20" s="59"/>
      <c r="H20" s="59"/>
      <c r="I20" s="59"/>
    </row>
    <row r="21" spans="2:14" ht="15.6" outlineLevel="1">
      <c r="B21" s="1" t="s">
        <v>93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2:14" outlineLevel="1">
      <c r="B22" s="111" t="s">
        <v>249</v>
      </c>
      <c r="C22" s="135" t="s">
        <v>251</v>
      </c>
      <c r="D22" s="64"/>
      <c r="E22" s="59"/>
      <c r="F22" s="59"/>
      <c r="G22" s="59"/>
      <c r="H22" s="59"/>
      <c r="I22" s="59"/>
    </row>
    <row r="23" spans="2:14" outlineLevel="1">
      <c r="B23" s="111" t="s">
        <v>94</v>
      </c>
      <c r="C23" s="135" t="s">
        <v>253</v>
      </c>
      <c r="D23" s="64"/>
    </row>
    <row r="24" spans="2:14" outlineLevel="1">
      <c r="B24" s="111" t="s">
        <v>254</v>
      </c>
      <c r="C24" s="135" t="s">
        <v>256</v>
      </c>
      <c r="D24" s="64"/>
    </row>
    <row r="25" spans="2:14" outlineLevel="1">
      <c r="B25" s="111" t="s">
        <v>95</v>
      </c>
      <c r="C25" s="135" t="s">
        <v>258</v>
      </c>
      <c r="D25" s="64"/>
    </row>
    <row r="26" spans="2:14" outlineLevel="1">
      <c r="B26" s="111" t="s">
        <v>259</v>
      </c>
      <c r="C26" s="135" t="s">
        <v>261</v>
      </c>
      <c r="D26" s="64"/>
    </row>
    <row r="27" spans="2:14">
      <c r="B27" s="61"/>
      <c r="C27" s="13"/>
    </row>
    <row r="28" spans="2:14" ht="15.6" outlineLevel="1">
      <c r="B28" s="1" t="s">
        <v>96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2:14" outlineLevel="1">
      <c r="B29" s="111" t="s">
        <v>262</v>
      </c>
      <c r="C29" s="135" t="s">
        <v>264</v>
      </c>
      <c r="D29" s="64"/>
    </row>
    <row r="30" spans="2:14" outlineLevel="1">
      <c r="B30" s="111" t="s">
        <v>265</v>
      </c>
      <c r="C30" s="135" t="s">
        <v>267</v>
      </c>
      <c r="D30" s="64"/>
    </row>
    <row r="31" spans="2:14" outlineLevel="1">
      <c r="B31" s="111" t="s">
        <v>268</v>
      </c>
      <c r="C31" s="135" t="s">
        <v>270</v>
      </c>
      <c r="D31" s="64"/>
    </row>
    <row r="32" spans="2:14" outlineLevel="1">
      <c r="B32" s="111" t="s">
        <v>271</v>
      </c>
      <c r="C32" s="135" t="s">
        <v>273</v>
      </c>
      <c r="D32" s="64"/>
    </row>
    <row r="34" spans="2:14" ht="15.6" outlineLevel="1">
      <c r="B34" s="1" t="s">
        <v>274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2:14" outlineLevel="1">
      <c r="B35" s="111" t="s">
        <v>275</v>
      </c>
      <c r="C35" s="135" t="s">
        <v>277</v>
      </c>
      <c r="D35" s="64"/>
    </row>
    <row r="36" spans="2:14" outlineLevel="1">
      <c r="B36" s="111" t="s">
        <v>278</v>
      </c>
      <c r="C36" s="135" t="s">
        <v>280</v>
      </c>
      <c r="D36" s="64"/>
    </row>
    <row r="37" spans="2:14" outlineLevel="1">
      <c r="B37" s="111" t="s">
        <v>281</v>
      </c>
      <c r="C37" s="135" t="s">
        <v>283</v>
      </c>
      <c r="D37" s="64"/>
    </row>
    <row r="38" spans="2:14" outlineLevel="1">
      <c r="B38" s="111" t="s">
        <v>284</v>
      </c>
      <c r="C38" s="135" t="s">
        <v>286</v>
      </c>
      <c r="D38" s="64"/>
    </row>
    <row r="40" spans="2:14" ht="15.6" outlineLevel="1">
      <c r="B40" s="1" t="s">
        <v>287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2:14" outlineLevel="1">
      <c r="B41" s="111" t="s">
        <v>288</v>
      </c>
      <c r="C41" s="135" t="s">
        <v>290</v>
      </c>
      <c r="D41" s="64"/>
    </row>
    <row r="42" spans="2:14" outlineLevel="1">
      <c r="B42" s="111" t="s">
        <v>291</v>
      </c>
      <c r="C42" s="135" t="s">
        <v>293</v>
      </c>
      <c r="D42" s="64"/>
    </row>
    <row r="43" spans="2:14" outlineLevel="1">
      <c r="B43" s="111" t="s">
        <v>294</v>
      </c>
      <c r="C43" s="135" t="s">
        <v>296</v>
      </c>
      <c r="D43" s="64"/>
    </row>
    <row r="44" spans="2:14" outlineLevel="1">
      <c r="B44" s="111" t="s">
        <v>297</v>
      </c>
      <c r="C44" s="135" t="s">
        <v>299</v>
      </c>
      <c r="D44" s="64"/>
    </row>
  </sheetData>
  <mergeCells count="2">
    <mergeCell ref="E2:I2"/>
    <mergeCell ref="J2:N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86733-3335-43E5-9DD6-302C5C98D415}">
  <dimension ref="A1:Z1002"/>
  <sheetViews>
    <sheetView tabSelected="1" topLeftCell="A73" workbookViewId="0">
      <selection activeCell="H86" sqref="H86"/>
    </sheetView>
  </sheetViews>
  <sheetFormatPr defaultColWidth="14.44140625" defaultRowHeight="15" customHeight="1" outlineLevelRow="1"/>
  <cols>
    <col min="1" max="1" width="12.88671875" customWidth="1"/>
    <col min="2" max="2" width="12.44140625" customWidth="1"/>
    <col min="3" max="3" width="11.109375" customWidth="1"/>
    <col min="4" max="13" width="11.5546875" customWidth="1"/>
    <col min="14" max="26" width="9.109375" customWidth="1"/>
  </cols>
  <sheetData>
    <row r="1" spans="1:26" ht="15.6">
      <c r="A1" s="30"/>
      <c r="B1" s="31"/>
      <c r="C1" s="32"/>
      <c r="D1" s="154" t="s">
        <v>65</v>
      </c>
      <c r="E1" s="155"/>
      <c r="F1" s="155"/>
      <c r="G1" s="155"/>
      <c r="H1" s="155"/>
      <c r="I1" s="156" t="s">
        <v>2</v>
      </c>
      <c r="J1" s="157"/>
      <c r="K1" s="157"/>
      <c r="L1" s="157"/>
      <c r="M1" s="157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24" customHeight="1">
      <c r="A2" s="33"/>
      <c r="B2" s="34"/>
      <c r="C2" s="35"/>
      <c r="D2" s="36">
        <v>2020</v>
      </c>
      <c r="E2" s="36">
        <f t="shared" ref="E2:M2" si="0">+D2+1</f>
        <v>2021</v>
      </c>
      <c r="F2" s="36">
        <f t="shared" si="0"/>
        <v>2022</v>
      </c>
      <c r="G2" s="36">
        <f t="shared" si="0"/>
        <v>2023</v>
      </c>
      <c r="H2" s="36">
        <f t="shared" si="0"/>
        <v>2024</v>
      </c>
      <c r="I2" s="37">
        <f t="shared" si="0"/>
        <v>2025</v>
      </c>
      <c r="J2" s="37">
        <f t="shared" si="0"/>
        <v>2026</v>
      </c>
      <c r="K2" s="37">
        <f t="shared" si="0"/>
        <v>2027</v>
      </c>
      <c r="L2" s="37">
        <f t="shared" si="0"/>
        <v>2028</v>
      </c>
      <c r="M2" s="37">
        <f t="shared" si="0"/>
        <v>2029</v>
      </c>
      <c r="N2" s="38"/>
      <c r="O2" s="38"/>
      <c r="P2" s="38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.6">
      <c r="A3" s="39" t="s">
        <v>66</v>
      </c>
      <c r="B3" s="39"/>
      <c r="C3" s="40"/>
      <c r="D3" s="41" t="str">
        <f t="shared" ref="D3:M3" si="1">IFERROR(IF(ABS(D61)&gt;1,"ERROR","OK"),"OK")</f>
        <v>OK</v>
      </c>
      <c r="E3" s="41" t="str">
        <f t="shared" si="1"/>
        <v>OK</v>
      </c>
      <c r="F3" s="41" t="str">
        <f t="shared" si="1"/>
        <v>OK</v>
      </c>
      <c r="G3" s="41" t="str">
        <f t="shared" si="1"/>
        <v>OK</v>
      </c>
      <c r="H3" s="41" t="str">
        <f t="shared" si="1"/>
        <v>OK</v>
      </c>
      <c r="I3" s="41" t="str">
        <f t="shared" si="1"/>
        <v>OK</v>
      </c>
      <c r="J3" s="41" t="str">
        <f t="shared" si="1"/>
        <v>OK</v>
      </c>
      <c r="K3" s="41" t="str">
        <f t="shared" si="1"/>
        <v>OK</v>
      </c>
      <c r="L3" s="41" t="str">
        <f t="shared" si="1"/>
        <v>OK</v>
      </c>
      <c r="M3" s="41" t="str">
        <f t="shared" si="1"/>
        <v>OK</v>
      </c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.6">
      <c r="A4" s="6"/>
      <c r="B4" s="6"/>
      <c r="C4" s="24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21">
      <c r="A5" s="2" t="s">
        <v>67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.6" outlineLevel="1">
      <c r="A6" s="6"/>
      <c r="B6" s="6"/>
      <c r="C6" s="24"/>
      <c r="D6" s="6"/>
      <c r="E6" s="6"/>
      <c r="F6" s="6"/>
      <c r="G6" s="6"/>
      <c r="H6" s="6"/>
      <c r="I6" s="19"/>
      <c r="J6" s="19"/>
      <c r="K6" s="19"/>
      <c r="L6" s="19"/>
      <c r="M6" s="19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5.6" outlineLevel="1">
      <c r="A7" s="5" t="s">
        <v>68</v>
      </c>
      <c r="B7" s="6"/>
      <c r="C7" s="24"/>
      <c r="D7" s="6"/>
      <c r="E7" s="6"/>
      <c r="F7" s="6"/>
      <c r="G7" s="6"/>
      <c r="H7" s="6"/>
      <c r="I7" s="19"/>
      <c r="J7" s="19"/>
      <c r="K7" s="19"/>
      <c r="L7" s="19"/>
      <c r="M7" s="19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5.6" outlineLevel="1">
      <c r="A8" s="25" t="s">
        <v>69</v>
      </c>
      <c r="B8" s="7"/>
      <c r="C8" s="42"/>
      <c r="D8" s="43"/>
      <c r="E8" s="43">
        <f>E26/D26-1</f>
        <v>0.15762643740135474</v>
      </c>
      <c r="F8" s="43">
        <f t="shared" ref="F8:H8" si="2">F26/E26-1</f>
        <v>0.1122825737174602</v>
      </c>
      <c r="G8" s="43">
        <f t="shared" si="2"/>
        <v>8.3718451406600947E-2</v>
      </c>
      <c r="H8" s="43">
        <f t="shared" si="2"/>
        <v>5.9231001608812672E-2</v>
      </c>
      <c r="I8" s="44">
        <v>0.1</v>
      </c>
      <c r="J8" s="44">
        <v>0.1</v>
      </c>
      <c r="K8" s="44">
        <v>0.1</v>
      </c>
      <c r="L8" s="44">
        <v>0.1</v>
      </c>
      <c r="M8" s="44">
        <v>0.1</v>
      </c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5.6" outlineLevel="1">
      <c r="A9" s="6" t="s">
        <v>70</v>
      </c>
      <c r="B9" s="6"/>
      <c r="C9" s="24"/>
      <c r="D9" s="45">
        <f t="shared" ref="D9:H9" si="3">D27/D26</f>
        <v>0.38255217779172018</v>
      </c>
      <c r="E9" s="45">
        <f t="shared" si="3"/>
        <v>0.40651728401334619</v>
      </c>
      <c r="F9" s="45">
        <f t="shared" si="3"/>
        <v>0.37399977159389397</v>
      </c>
      <c r="G9" s="45">
        <f t="shared" si="3"/>
        <v>0.369914501092447</v>
      </c>
      <c r="H9" s="45">
        <f t="shared" si="3"/>
        <v>0.37613084657628737</v>
      </c>
      <c r="I9" s="46">
        <v>0.42</v>
      </c>
      <c r="J9" s="46">
        <v>0.47</v>
      </c>
      <c r="K9" s="46">
        <v>0.5</v>
      </c>
      <c r="L9" s="46">
        <v>0.36</v>
      </c>
      <c r="M9" s="46">
        <v>0.35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5.6" outlineLevel="1">
      <c r="A10" s="6" t="s">
        <v>71</v>
      </c>
      <c r="B10" s="6"/>
      <c r="C10" s="24"/>
      <c r="D10" s="45">
        <f t="shared" ref="D10:H10" si="4">D30/D26</f>
        <v>0.25907045594910155</v>
      </c>
      <c r="E10" s="45">
        <f t="shared" si="4"/>
        <v>0.19187710651559034</v>
      </c>
      <c r="F10" s="45">
        <f t="shared" si="4"/>
        <v>0.18175035212608018</v>
      </c>
      <c r="G10" s="45">
        <f t="shared" si="4"/>
        <v>0.16159785304304453</v>
      </c>
      <c r="H10" s="45">
        <f t="shared" si="4"/>
        <v>0.16743825113416283</v>
      </c>
      <c r="I10" s="46">
        <v>0.17</v>
      </c>
      <c r="J10" s="46">
        <v>0.17</v>
      </c>
      <c r="K10" s="46">
        <v>0.17</v>
      </c>
      <c r="L10" s="46">
        <v>0.17</v>
      </c>
      <c r="M10" s="46">
        <v>0.17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.6" outlineLevel="1">
      <c r="A11" s="6" t="s">
        <v>72</v>
      </c>
      <c r="B11" s="6"/>
      <c r="C11" s="24"/>
      <c r="D11" s="6">
        <f t="shared" ref="D11:H11" si="5">D31</f>
        <v>10963</v>
      </c>
      <c r="E11" s="6">
        <f t="shared" si="5"/>
        <v>10125</v>
      </c>
      <c r="F11" s="6">
        <f t="shared" si="5"/>
        <v>10087</v>
      </c>
      <c r="G11" s="6">
        <f t="shared" si="5"/>
        <v>11020</v>
      </c>
      <c r="H11" s="6">
        <f t="shared" si="5"/>
        <v>11412</v>
      </c>
      <c r="I11" s="19">
        <v>15000</v>
      </c>
      <c r="J11" s="19">
        <v>15000</v>
      </c>
      <c r="K11" s="19">
        <v>15000</v>
      </c>
      <c r="L11" s="19">
        <v>15000</v>
      </c>
      <c r="M11" s="19">
        <v>15000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5.6" outlineLevel="1">
      <c r="A12" s="6" t="s">
        <v>73</v>
      </c>
      <c r="B12" s="6"/>
      <c r="C12" s="24"/>
      <c r="D12" s="45">
        <f t="shared" ref="D12:H12" si="6">D33/D48</f>
        <v>0.42857142857142849</v>
      </c>
      <c r="E12" s="45">
        <f t="shared" si="6"/>
        <v>0.42857142857142849</v>
      </c>
      <c r="F12" s="45">
        <f t="shared" si="6"/>
        <v>0.42857142857142849</v>
      </c>
      <c r="G12" s="45">
        <f t="shared" si="6"/>
        <v>0.42858993290329256</v>
      </c>
      <c r="H12" s="45">
        <f t="shared" si="6"/>
        <v>0.42856000639641795</v>
      </c>
      <c r="I12" s="46">
        <v>0.35</v>
      </c>
      <c r="J12" s="46">
        <v>0.35</v>
      </c>
      <c r="K12" s="46">
        <v>0.35</v>
      </c>
      <c r="L12" s="46">
        <v>0.35</v>
      </c>
      <c r="M12" s="46">
        <v>0.35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5.6" outlineLevel="1">
      <c r="A13" s="6" t="s">
        <v>74</v>
      </c>
      <c r="B13" s="6"/>
      <c r="C13" s="24"/>
      <c r="D13" s="45">
        <f t="shared" ref="D13:H13" si="7">D34/D53</f>
        <v>0.05</v>
      </c>
      <c r="E13" s="45">
        <f t="shared" si="7"/>
        <v>0.05</v>
      </c>
      <c r="F13" s="45">
        <f t="shared" si="7"/>
        <v>0.05</v>
      </c>
      <c r="G13" s="45">
        <f t="shared" si="7"/>
        <v>0.05</v>
      </c>
      <c r="H13" s="45">
        <f t="shared" si="7"/>
        <v>0.05</v>
      </c>
      <c r="I13" s="46">
        <v>0.1</v>
      </c>
      <c r="J13" s="46">
        <v>0.1</v>
      </c>
      <c r="K13" s="46">
        <v>0.1</v>
      </c>
      <c r="L13" s="46">
        <v>0.1</v>
      </c>
      <c r="M13" s="46">
        <v>0.1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5.6" outlineLevel="1">
      <c r="A14" s="6" t="s">
        <v>75</v>
      </c>
      <c r="B14" s="47"/>
      <c r="C14" s="48"/>
      <c r="D14" s="45">
        <f t="shared" ref="D14:H14" si="8">D38/D36</f>
        <v>-3.3140016570008285E-2</v>
      </c>
      <c r="E14" s="45">
        <f t="shared" si="8"/>
        <v>-0.3011032601958597</v>
      </c>
      <c r="F14" s="45">
        <f t="shared" si="8"/>
        <v>-1.9275164735287436</v>
      </c>
      <c r="G14" s="45">
        <f t="shared" si="8"/>
        <v>3.0308419005279243</v>
      </c>
      <c r="H14" s="45">
        <f t="shared" si="8"/>
        <v>3.6609848484848486</v>
      </c>
      <c r="I14" s="46">
        <v>0.28000000000000003</v>
      </c>
      <c r="J14" s="46">
        <v>0.28000000000000003</v>
      </c>
      <c r="K14" s="46">
        <v>0.28000000000000003</v>
      </c>
      <c r="L14" s="46">
        <v>0.28000000000000003</v>
      </c>
      <c r="M14" s="46">
        <v>0.28000000000000003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.6" outlineLevel="1">
      <c r="A15" s="6" t="s">
        <v>76</v>
      </c>
      <c r="B15" s="6"/>
      <c r="C15" s="49"/>
      <c r="D15" s="6">
        <f t="shared" ref="D15:H16" si="9">D46/D26*365</f>
        <v>18.248747634966229</v>
      </c>
      <c r="E15" s="6">
        <f t="shared" si="9"/>
        <v>18.249072709720032</v>
      </c>
      <c r="F15" s="6">
        <f t="shared" si="9"/>
        <v>18.249305264760743</v>
      </c>
      <c r="G15" s="6">
        <f t="shared" si="9"/>
        <v>18.249871786765585</v>
      </c>
      <c r="H15" s="6">
        <f t="shared" si="9"/>
        <v>18.248547475658611</v>
      </c>
      <c r="I15" s="19">
        <v>18</v>
      </c>
      <c r="J15" s="19">
        <v>18</v>
      </c>
      <c r="K15" s="19">
        <v>18</v>
      </c>
      <c r="L15" s="19">
        <v>18</v>
      </c>
      <c r="M15" s="19">
        <v>18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.6" outlineLevel="1">
      <c r="A16" s="6" t="s">
        <v>77</v>
      </c>
      <c r="B16" s="6"/>
      <c r="C16" s="49"/>
      <c r="D16" s="6">
        <f t="shared" si="9"/>
        <v>73.00374138328678</v>
      </c>
      <c r="E16" s="6">
        <f t="shared" si="9"/>
        <v>73.001520706607778</v>
      </c>
      <c r="F16" s="6">
        <f t="shared" si="9"/>
        <v>73.002972131180911</v>
      </c>
      <c r="G16" s="6">
        <f t="shared" si="9"/>
        <v>73.001386409389596</v>
      </c>
      <c r="H16" s="6">
        <f t="shared" si="9"/>
        <v>73</v>
      </c>
      <c r="I16" s="19">
        <v>80</v>
      </c>
      <c r="J16" s="19">
        <v>90</v>
      </c>
      <c r="K16" s="19">
        <v>100</v>
      </c>
      <c r="L16" s="19">
        <v>100</v>
      </c>
      <c r="M16" s="19">
        <v>100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5.6" outlineLevel="1">
      <c r="A17" s="6" t="s">
        <v>78</v>
      </c>
      <c r="B17" s="6"/>
      <c r="C17" s="49"/>
      <c r="D17" s="6">
        <f t="shared" ref="D17:H17" si="10">D52/D27*365</f>
        <v>36.497193962534915</v>
      </c>
      <c r="E17" s="6">
        <f t="shared" si="10"/>
        <v>36.496958586784437</v>
      </c>
      <c r="F17" s="6">
        <f t="shared" si="10"/>
        <v>36.497770901614317</v>
      </c>
      <c r="G17" s="6">
        <f t="shared" si="10"/>
        <v>36.504159228168795</v>
      </c>
      <c r="H17" s="6">
        <f t="shared" si="10"/>
        <v>36.493563745371191</v>
      </c>
      <c r="I17" s="19">
        <v>37</v>
      </c>
      <c r="J17" s="19">
        <v>37</v>
      </c>
      <c r="K17" s="19">
        <v>37</v>
      </c>
      <c r="L17" s="19">
        <v>37</v>
      </c>
      <c r="M17" s="19">
        <v>37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.6" outlineLevel="1">
      <c r="A18" s="6" t="s">
        <v>79</v>
      </c>
      <c r="B18" s="6"/>
      <c r="C18" s="24"/>
      <c r="D18" s="6">
        <f t="shared" ref="D18:H18" si="11">D73</f>
        <v>15000</v>
      </c>
      <c r="E18" s="6">
        <f t="shared" si="11"/>
        <v>15000</v>
      </c>
      <c r="F18" s="6">
        <f t="shared" si="11"/>
        <v>15000</v>
      </c>
      <c r="G18" s="6">
        <f t="shared" si="11"/>
        <v>15000</v>
      </c>
      <c r="H18" s="6">
        <f t="shared" si="11"/>
        <v>15000</v>
      </c>
      <c r="I18" s="19">
        <v>15000</v>
      </c>
      <c r="J18" s="19">
        <v>15000</v>
      </c>
      <c r="K18" s="19">
        <v>15000</v>
      </c>
      <c r="L18" s="19">
        <v>15000</v>
      </c>
      <c r="M18" s="19">
        <v>15000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.6" outlineLevel="1">
      <c r="A19" s="6" t="s">
        <v>80</v>
      </c>
      <c r="B19" s="6"/>
      <c r="C19" s="24"/>
      <c r="D19" s="6">
        <f t="shared" ref="D19:H20" si="12">D77</f>
        <v>0</v>
      </c>
      <c r="E19" s="6">
        <f t="shared" si="12"/>
        <v>0</v>
      </c>
      <c r="F19" s="6">
        <f t="shared" si="12"/>
        <v>-20000</v>
      </c>
      <c r="G19" s="6">
        <f t="shared" si="12"/>
        <v>0</v>
      </c>
      <c r="H19" s="6">
        <f t="shared" si="12"/>
        <v>0</v>
      </c>
      <c r="I19" s="19">
        <v>0</v>
      </c>
      <c r="J19" s="19">
        <v>0</v>
      </c>
      <c r="K19" s="19">
        <v>-20000</v>
      </c>
      <c r="L19" s="19">
        <v>0</v>
      </c>
      <c r="M19" s="19">
        <v>0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.6" outlineLevel="1">
      <c r="A20" s="6" t="s">
        <v>81</v>
      </c>
      <c r="B20" s="6"/>
      <c r="C20" s="24"/>
      <c r="D20" s="6">
        <f t="shared" si="12"/>
        <v>70000</v>
      </c>
      <c r="E20" s="6">
        <f t="shared" si="12"/>
        <v>0</v>
      </c>
      <c r="F20" s="6">
        <f t="shared" si="12"/>
        <v>0</v>
      </c>
      <c r="G20" s="6">
        <f t="shared" si="12"/>
        <v>0</v>
      </c>
      <c r="H20" s="6">
        <f t="shared" si="12"/>
        <v>0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6" outlineLevel="1">
      <c r="A21" s="6" t="s">
        <v>82</v>
      </c>
      <c r="B21" s="6"/>
      <c r="C21" s="24"/>
      <c r="D21" s="19">
        <v>365</v>
      </c>
      <c r="E21" s="19">
        <v>365</v>
      </c>
      <c r="F21" s="19">
        <v>365</v>
      </c>
      <c r="G21" s="19">
        <v>365</v>
      </c>
      <c r="H21" s="19">
        <v>365</v>
      </c>
      <c r="I21" s="19">
        <v>365</v>
      </c>
      <c r="J21" s="19">
        <v>365</v>
      </c>
      <c r="K21" s="19">
        <v>365</v>
      </c>
      <c r="L21" s="19">
        <v>365</v>
      </c>
      <c r="M21" s="19">
        <v>365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6" outlineLevel="1">
      <c r="A22" s="6"/>
      <c r="B22" s="6"/>
      <c r="C22" s="24"/>
      <c r="D22" s="6"/>
      <c r="E22" s="6"/>
      <c r="F22" s="6"/>
      <c r="G22" s="6"/>
      <c r="H22" s="6"/>
      <c r="I22" s="19"/>
      <c r="J22" s="19"/>
      <c r="K22" s="19"/>
      <c r="L22" s="19"/>
      <c r="M22" s="19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6">
      <c r="A23" s="6"/>
      <c r="B23" s="6"/>
      <c r="C23" s="24"/>
      <c r="D23" s="6"/>
      <c r="E23" s="6"/>
      <c r="F23" s="6"/>
      <c r="G23" s="6"/>
      <c r="H23" s="6"/>
      <c r="I23" s="19"/>
      <c r="J23" s="19"/>
      <c r="K23" s="19"/>
      <c r="L23" s="19"/>
      <c r="M23" s="19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21">
      <c r="A24" s="2" t="s">
        <v>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6" outlineLevel="1">
      <c r="A25" s="5"/>
      <c r="B25" s="5"/>
      <c r="C25" s="50"/>
      <c r="D25" s="15"/>
      <c r="E25" s="15"/>
      <c r="F25" s="15"/>
      <c r="G25" s="15"/>
      <c r="H25" s="15"/>
      <c r="I25" s="5"/>
      <c r="J25" s="5"/>
      <c r="K25" s="5"/>
      <c r="L25" s="5"/>
      <c r="M25" s="5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6" outlineLevel="1">
      <c r="A26" s="5" t="s">
        <v>3</v>
      </c>
      <c r="B26" s="5"/>
      <c r="C26" s="50"/>
      <c r="D26" s="15">
        <v>102007</v>
      </c>
      <c r="E26" s="15">
        <v>118086</v>
      </c>
      <c r="F26" s="15">
        <v>131345</v>
      </c>
      <c r="G26" s="15">
        <v>142341</v>
      </c>
      <c r="H26" s="15">
        <v>150772</v>
      </c>
      <c r="I26" s="5">
        <f t="shared" ref="I26:M26" si="13">H26*(1+I8)</f>
        <v>165849.20000000001</v>
      </c>
      <c r="J26" s="5">
        <f t="shared" si="13"/>
        <v>182434.12000000002</v>
      </c>
      <c r="K26" s="5">
        <f t="shared" si="13"/>
        <v>200677.53200000004</v>
      </c>
      <c r="L26" s="5">
        <f t="shared" si="13"/>
        <v>220745.28520000007</v>
      </c>
      <c r="M26" s="5">
        <f t="shared" si="13"/>
        <v>242819.81372000009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.6" outlineLevel="1">
      <c r="A27" s="6" t="s">
        <v>4</v>
      </c>
      <c r="B27" s="6"/>
      <c r="C27" s="24"/>
      <c r="D27" s="19">
        <v>39023</v>
      </c>
      <c r="E27" s="19">
        <v>48004</v>
      </c>
      <c r="F27" s="19">
        <v>49123</v>
      </c>
      <c r="G27" s="19">
        <v>52654</v>
      </c>
      <c r="H27" s="19">
        <v>56710</v>
      </c>
      <c r="I27" s="51">
        <f t="shared" ref="I27:M27" si="14">I26*I9</f>
        <v>69656.664000000004</v>
      </c>
      <c r="J27" s="51">
        <f t="shared" si="14"/>
        <v>85744.036400000012</v>
      </c>
      <c r="K27" s="51">
        <f t="shared" si="14"/>
        <v>100338.76600000002</v>
      </c>
      <c r="L27" s="51">
        <f t="shared" si="14"/>
        <v>79468.30267200002</v>
      </c>
      <c r="M27" s="51">
        <f t="shared" si="14"/>
        <v>84986.934802000033</v>
      </c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.6" outlineLevel="1">
      <c r="A28" s="7" t="s">
        <v>5</v>
      </c>
      <c r="B28" s="7"/>
      <c r="C28" s="42"/>
      <c r="D28" s="7">
        <f t="shared" ref="D28:M28" si="15">D26-D27</f>
        <v>62984</v>
      </c>
      <c r="E28" s="7">
        <f t="shared" si="15"/>
        <v>70082</v>
      </c>
      <c r="F28" s="7">
        <f t="shared" si="15"/>
        <v>82222</v>
      </c>
      <c r="G28" s="7">
        <f t="shared" si="15"/>
        <v>89687</v>
      </c>
      <c r="H28" s="7">
        <f t="shared" si="15"/>
        <v>94062</v>
      </c>
      <c r="I28" s="7">
        <f t="shared" si="15"/>
        <v>96192.536000000007</v>
      </c>
      <c r="J28" s="7">
        <f t="shared" si="15"/>
        <v>96690.083600000013</v>
      </c>
      <c r="K28" s="7">
        <f t="shared" si="15"/>
        <v>100338.76600000002</v>
      </c>
      <c r="L28" s="7">
        <f t="shared" si="15"/>
        <v>141276.98252800005</v>
      </c>
      <c r="M28" s="7">
        <f t="shared" si="15"/>
        <v>157832.87891800006</v>
      </c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.6" outlineLevel="1">
      <c r="A29" s="5" t="s">
        <v>6</v>
      </c>
      <c r="B29" s="5"/>
      <c r="C29" s="50"/>
      <c r="D29" s="52"/>
      <c r="E29" s="52"/>
      <c r="F29" s="52"/>
      <c r="G29" s="52"/>
      <c r="H29" s="52"/>
      <c r="I29" s="52"/>
      <c r="J29" s="52"/>
      <c r="K29" s="52"/>
      <c r="L29" s="5"/>
      <c r="M29" s="5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.6" outlineLevel="1">
      <c r="A30" s="6" t="s">
        <v>7</v>
      </c>
      <c r="B30" s="6"/>
      <c r="C30" s="24"/>
      <c r="D30" s="19">
        <v>26427</v>
      </c>
      <c r="E30" s="19">
        <v>22658</v>
      </c>
      <c r="F30" s="19">
        <v>23872</v>
      </c>
      <c r="G30" s="19">
        <v>23002</v>
      </c>
      <c r="H30" s="19">
        <v>25245</v>
      </c>
      <c r="I30" s="6">
        <f t="shared" ref="I30:M30" si="16">I10*I26</f>
        <v>28194.364000000005</v>
      </c>
      <c r="J30" s="6">
        <f t="shared" si="16"/>
        <v>31013.800400000007</v>
      </c>
      <c r="K30" s="6">
        <f t="shared" si="16"/>
        <v>34115.180440000011</v>
      </c>
      <c r="L30" s="6">
        <f t="shared" si="16"/>
        <v>37526.698484000015</v>
      </c>
      <c r="M30" s="6">
        <f t="shared" si="16"/>
        <v>41279.368332400016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.6" outlineLevel="1">
      <c r="A31" s="6" t="s">
        <v>8</v>
      </c>
      <c r="B31" s="6"/>
      <c r="C31" s="24"/>
      <c r="D31" s="19">
        <v>10963</v>
      </c>
      <c r="E31" s="19">
        <v>10125</v>
      </c>
      <c r="F31" s="19">
        <v>10087</v>
      </c>
      <c r="G31" s="19">
        <v>11020</v>
      </c>
      <c r="H31" s="19">
        <v>11412</v>
      </c>
      <c r="I31" s="6">
        <f t="shared" ref="I31:M31" si="17">I11</f>
        <v>15000</v>
      </c>
      <c r="J31" s="6">
        <f t="shared" si="17"/>
        <v>15000</v>
      </c>
      <c r="K31" s="6">
        <f t="shared" si="17"/>
        <v>15000</v>
      </c>
      <c r="L31" s="6">
        <f t="shared" si="17"/>
        <v>15000</v>
      </c>
      <c r="M31" s="6">
        <f t="shared" si="17"/>
        <v>15000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6" outlineLevel="1">
      <c r="A32" s="6"/>
      <c r="B32" s="6"/>
      <c r="C32" s="24"/>
      <c r="D32" s="19">
        <f>SUM(D30:D31)</f>
        <v>37390</v>
      </c>
      <c r="E32" s="19">
        <f t="shared" ref="E32:M32" si="18">SUM(E30:E31)</f>
        <v>32783</v>
      </c>
      <c r="F32" s="19">
        <f t="shared" si="18"/>
        <v>33959</v>
      </c>
      <c r="G32" s="19">
        <f t="shared" si="18"/>
        <v>34022</v>
      </c>
      <c r="H32" s="19">
        <f t="shared" si="18"/>
        <v>36657</v>
      </c>
      <c r="I32" s="19">
        <f t="shared" si="18"/>
        <v>43194.364000000001</v>
      </c>
      <c r="J32" s="19">
        <f t="shared" si="18"/>
        <v>46013.800400000007</v>
      </c>
      <c r="K32" s="19">
        <f t="shared" si="18"/>
        <v>49115.180440000011</v>
      </c>
      <c r="L32" s="19">
        <f t="shared" si="18"/>
        <v>52526.698484000015</v>
      </c>
      <c r="M32" s="19">
        <f t="shared" si="18"/>
        <v>56279.368332400016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6" outlineLevel="1">
      <c r="A33" s="6" t="s">
        <v>9</v>
      </c>
      <c r="B33" s="6"/>
      <c r="C33" s="24"/>
      <c r="D33" s="19">
        <v>19500</v>
      </c>
      <c r="E33" s="19">
        <v>18150</v>
      </c>
      <c r="F33" s="19">
        <v>17205</v>
      </c>
      <c r="G33" s="19">
        <v>16544</v>
      </c>
      <c r="H33" s="19">
        <v>16080</v>
      </c>
      <c r="I33" s="6">
        <f t="shared" ref="I33:M33" si="19">I68</f>
        <v>13132.350000000002</v>
      </c>
      <c r="J33" s="6">
        <f t="shared" si="19"/>
        <v>13786.027500000002</v>
      </c>
      <c r="K33" s="6">
        <f t="shared" si="19"/>
        <v>14210.917875000001</v>
      </c>
      <c r="L33" s="6">
        <f t="shared" si="19"/>
        <v>14487.096618750002</v>
      </c>
      <c r="M33" s="6">
        <f t="shared" si="19"/>
        <v>14666.612802187501</v>
      </c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6" outlineLevel="1">
      <c r="A34" s="8" t="s">
        <v>10</v>
      </c>
      <c r="B34" s="8"/>
      <c r="C34" s="53"/>
      <c r="D34" s="20">
        <v>2500</v>
      </c>
      <c r="E34" s="20">
        <v>2500</v>
      </c>
      <c r="F34" s="20">
        <v>1500</v>
      </c>
      <c r="G34" s="20">
        <v>1500</v>
      </c>
      <c r="H34" s="20">
        <v>1500</v>
      </c>
      <c r="I34" s="8">
        <f t="shared" ref="I34:M34" si="20">I106</f>
        <v>3000.0000000000009</v>
      </c>
      <c r="J34" s="8">
        <f t="shared" si="20"/>
        <v>3000.0000000000009</v>
      </c>
      <c r="K34" s="8">
        <f t="shared" si="20"/>
        <v>2000.0000000000009</v>
      </c>
      <c r="L34" s="8">
        <f t="shared" si="20"/>
        <v>1000.0000000000008</v>
      </c>
      <c r="M34" s="8">
        <f t="shared" si="20"/>
        <v>1000.0000000000008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.6" outlineLevel="1">
      <c r="A35" s="5" t="s">
        <v>11</v>
      </c>
      <c r="B35" s="6"/>
      <c r="C35" s="24"/>
      <c r="D35" s="5">
        <f t="shared" ref="D35:M35" si="21">SUM(D30:D34)</f>
        <v>96780</v>
      </c>
      <c r="E35" s="5">
        <f t="shared" si="21"/>
        <v>86216</v>
      </c>
      <c r="F35" s="5">
        <f t="shared" si="21"/>
        <v>86623</v>
      </c>
      <c r="G35" s="5">
        <f t="shared" si="21"/>
        <v>86088</v>
      </c>
      <c r="H35" s="5">
        <f t="shared" si="21"/>
        <v>90894</v>
      </c>
      <c r="I35" s="5">
        <f t="shared" si="21"/>
        <v>102521.07800000001</v>
      </c>
      <c r="J35" s="5">
        <f t="shared" si="21"/>
        <v>108813.62830000001</v>
      </c>
      <c r="K35" s="5">
        <f t="shared" si="21"/>
        <v>114441.27875500002</v>
      </c>
      <c r="L35" s="5">
        <f t="shared" si="21"/>
        <v>120540.49358675003</v>
      </c>
      <c r="M35" s="5">
        <f t="shared" si="21"/>
        <v>128225.34946698754</v>
      </c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6" outlineLevel="1">
      <c r="A36" s="7" t="s">
        <v>12</v>
      </c>
      <c r="B36" s="7"/>
      <c r="C36" s="42"/>
      <c r="D36" s="7">
        <f t="shared" ref="D36:M36" si="22">D28-D35</f>
        <v>-33796</v>
      </c>
      <c r="E36" s="7">
        <f t="shared" si="22"/>
        <v>-16134</v>
      </c>
      <c r="F36" s="7">
        <f t="shared" si="22"/>
        <v>-4401</v>
      </c>
      <c r="G36" s="7">
        <f t="shared" si="22"/>
        <v>3599</v>
      </c>
      <c r="H36" s="7">
        <f t="shared" si="22"/>
        <v>3168</v>
      </c>
      <c r="I36" s="7">
        <f t="shared" si="22"/>
        <v>-6328.5420000000013</v>
      </c>
      <c r="J36" s="7">
        <f t="shared" si="22"/>
        <v>-12123.544699999999</v>
      </c>
      <c r="K36" s="7">
        <f t="shared" si="22"/>
        <v>-14102.512755000003</v>
      </c>
      <c r="L36" s="7">
        <f t="shared" si="22"/>
        <v>20736.48894125002</v>
      </c>
      <c r="M36" s="7">
        <f t="shared" si="22"/>
        <v>29607.529451012524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6" outlineLevel="1">
      <c r="A37" s="5"/>
      <c r="B37" s="5"/>
      <c r="C37" s="50"/>
      <c r="D37" s="15"/>
      <c r="E37" s="15"/>
      <c r="F37" s="15"/>
      <c r="G37" s="15"/>
      <c r="H37" s="15"/>
      <c r="I37" s="5"/>
      <c r="J37" s="5"/>
      <c r="K37" s="5"/>
      <c r="L37" s="5"/>
      <c r="M37" s="5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.6" outlineLevel="1">
      <c r="A38" s="6" t="s">
        <v>13</v>
      </c>
      <c r="B38" s="6"/>
      <c r="C38" s="24"/>
      <c r="D38" s="19">
        <v>1120</v>
      </c>
      <c r="E38" s="19">
        <v>4858</v>
      </c>
      <c r="F38" s="19">
        <v>8483</v>
      </c>
      <c r="G38" s="19">
        <v>10908</v>
      </c>
      <c r="H38" s="19">
        <v>11598</v>
      </c>
      <c r="I38" s="51">
        <f t="shared" ref="I38:M38" si="23">I36*I14</f>
        <v>-1771.9917600000006</v>
      </c>
      <c r="J38" s="51">
        <f t="shared" si="23"/>
        <v>-3394.5925159999997</v>
      </c>
      <c r="K38" s="51">
        <f t="shared" si="23"/>
        <v>-3948.7035714000012</v>
      </c>
      <c r="L38" s="51">
        <f t="shared" si="23"/>
        <v>5806.2169035500065</v>
      </c>
      <c r="M38" s="51">
        <f t="shared" si="23"/>
        <v>8290.1082462835075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6.2" outlineLevel="1" thickBot="1">
      <c r="A39" s="9" t="s">
        <v>14</v>
      </c>
      <c r="B39" s="9"/>
      <c r="C39" s="54"/>
      <c r="D39" s="9">
        <f t="shared" ref="D39:M39" si="24">D36-D38</f>
        <v>-34916</v>
      </c>
      <c r="E39" s="9">
        <f t="shared" si="24"/>
        <v>-20992</v>
      </c>
      <c r="F39" s="9">
        <f t="shared" si="24"/>
        <v>-12884</v>
      </c>
      <c r="G39" s="9">
        <f t="shared" si="24"/>
        <v>-7309</v>
      </c>
      <c r="H39" s="9">
        <f t="shared" si="24"/>
        <v>-8430</v>
      </c>
      <c r="I39" s="9">
        <f t="shared" si="24"/>
        <v>-4556.5502400000005</v>
      </c>
      <c r="J39" s="9">
        <f t="shared" si="24"/>
        <v>-8728.9521839999979</v>
      </c>
      <c r="K39" s="9">
        <f t="shared" si="24"/>
        <v>-10153.809183600002</v>
      </c>
      <c r="L39" s="9">
        <f t="shared" si="24"/>
        <v>14930.272037700013</v>
      </c>
      <c r="M39" s="9">
        <f t="shared" si="24"/>
        <v>21317.421204729017</v>
      </c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6.2" outlineLevel="1" thickTop="1">
      <c r="A40" s="6"/>
      <c r="B40" s="6"/>
      <c r="C40" s="24"/>
      <c r="D40" s="19"/>
      <c r="E40" s="19"/>
      <c r="F40" s="19"/>
      <c r="G40" s="19"/>
      <c r="H40" s="19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5.6">
      <c r="A41" s="6"/>
      <c r="B41" s="6"/>
      <c r="C41" s="24"/>
      <c r="D41" s="19"/>
      <c r="E41" s="19"/>
      <c r="F41" s="19"/>
      <c r="G41" s="19"/>
      <c r="H41" s="19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21">
      <c r="A42" s="2" t="s">
        <v>20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.6" outlineLevel="1">
      <c r="A43" s="6"/>
      <c r="B43" s="6"/>
      <c r="C43" s="24"/>
      <c r="D43" s="19"/>
      <c r="E43" s="19"/>
      <c r="F43" s="19"/>
      <c r="G43" s="19"/>
      <c r="H43" s="19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5.6" outlineLevel="1">
      <c r="A44" s="5" t="s">
        <v>21</v>
      </c>
      <c r="B44" s="6"/>
      <c r="C44" s="24"/>
      <c r="D44" s="19"/>
      <c r="E44" s="19"/>
      <c r="F44" s="19"/>
      <c r="G44" s="19"/>
      <c r="H44" s="19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5.6" outlineLevel="1">
      <c r="A45" s="6" t="s">
        <v>22</v>
      </c>
      <c r="B45" s="6"/>
      <c r="C45" s="28"/>
      <c r="D45" s="19">
        <v>67971</v>
      </c>
      <c r="E45" s="19">
        <v>81210</v>
      </c>
      <c r="F45" s="19">
        <v>83715</v>
      </c>
      <c r="G45" s="19">
        <v>111070</v>
      </c>
      <c r="H45" s="19">
        <v>139549</v>
      </c>
      <c r="I45" s="6">
        <f t="shared" ref="I45:M45" si="25">I83</f>
        <v>129949.80756273973</v>
      </c>
      <c r="J45" s="6">
        <f t="shared" si="25"/>
        <v>114944.6200370959</v>
      </c>
      <c r="K45" s="6">
        <f t="shared" si="25"/>
        <v>78233.811619454791</v>
      </c>
      <c r="L45" s="6">
        <f t="shared" si="25"/>
        <v>95263.836802107544</v>
      </c>
      <c r="M45" s="6">
        <f t="shared" si="25"/>
        <v>114206.73289792816</v>
      </c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.6" outlineLevel="1">
      <c r="A46" s="6" t="s">
        <v>23</v>
      </c>
      <c r="B46" s="6"/>
      <c r="C46" s="28"/>
      <c r="D46" s="19">
        <v>5100</v>
      </c>
      <c r="E46" s="19">
        <v>5904</v>
      </c>
      <c r="F46" s="19">
        <v>6567</v>
      </c>
      <c r="G46" s="19">
        <v>7117</v>
      </c>
      <c r="H46" s="19">
        <v>7538</v>
      </c>
      <c r="I46" s="55">
        <f>I26*I15/I21</f>
        <v>8178.8646575342473</v>
      </c>
      <c r="J46" s="55">
        <f t="shared" ref="J46:M46" si="26">J26*J15/J21</f>
        <v>8996.7511232876732</v>
      </c>
      <c r="K46" s="55">
        <f t="shared" si="26"/>
        <v>9896.42623561644</v>
      </c>
      <c r="L46" s="55">
        <f t="shared" si="26"/>
        <v>10886.068859178085</v>
      </c>
      <c r="M46" s="55">
        <f t="shared" si="26"/>
        <v>11974.675745095894</v>
      </c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.6" outlineLevel="1">
      <c r="A47" s="6" t="s">
        <v>24</v>
      </c>
      <c r="B47" s="6"/>
      <c r="C47" s="28"/>
      <c r="D47" s="19">
        <v>7805</v>
      </c>
      <c r="E47" s="19">
        <v>9601</v>
      </c>
      <c r="F47" s="19">
        <v>9825</v>
      </c>
      <c r="G47" s="19">
        <v>10531</v>
      </c>
      <c r="H47" s="19">
        <v>11342</v>
      </c>
      <c r="I47" s="6">
        <f>I27*I16/I21</f>
        <v>15267.21402739726</v>
      </c>
      <c r="J47" s="6">
        <f t="shared" ref="J47:M47" si="27">J27*J16/J21</f>
        <v>21142.365139726033</v>
      </c>
      <c r="K47" s="6">
        <f t="shared" si="27"/>
        <v>27490.072876712333</v>
      </c>
      <c r="L47" s="6">
        <f t="shared" si="27"/>
        <v>21772.137718356171</v>
      </c>
      <c r="M47" s="6">
        <f t="shared" si="27"/>
        <v>23284.091726575352</v>
      </c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.6" outlineLevel="1">
      <c r="A48" s="6" t="s">
        <v>25</v>
      </c>
      <c r="B48" s="6"/>
      <c r="C48" s="24"/>
      <c r="D48" s="19">
        <v>45500.000000000007</v>
      </c>
      <c r="E48" s="19">
        <v>42350.000000000007</v>
      </c>
      <c r="F48" s="19">
        <v>40145.000000000007</v>
      </c>
      <c r="G48" s="19">
        <v>38601.000000000007</v>
      </c>
      <c r="H48" s="19">
        <v>37521.000000000007</v>
      </c>
      <c r="I48" s="6">
        <f t="shared" ref="I48:M48" si="28">I100</f>
        <v>39388.650000000009</v>
      </c>
      <c r="J48" s="6">
        <f t="shared" si="28"/>
        <v>40602.622500000005</v>
      </c>
      <c r="K48" s="6">
        <f t="shared" si="28"/>
        <v>41391.704625000006</v>
      </c>
      <c r="L48" s="6">
        <f t="shared" si="28"/>
        <v>41904.608006250004</v>
      </c>
      <c r="M48" s="6">
        <f t="shared" si="28"/>
        <v>42237.995204062507</v>
      </c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6.2" outlineLevel="1" thickBot="1">
      <c r="A49" s="9" t="s">
        <v>26</v>
      </c>
      <c r="B49" s="9"/>
      <c r="C49" s="54"/>
      <c r="D49" s="9">
        <f t="shared" ref="D49:M49" si="29">SUM(D45:D48)</f>
        <v>126376</v>
      </c>
      <c r="E49" s="9">
        <f t="shared" si="29"/>
        <v>139065</v>
      </c>
      <c r="F49" s="9">
        <f t="shared" si="29"/>
        <v>140252</v>
      </c>
      <c r="G49" s="9">
        <f t="shared" si="29"/>
        <v>167319</v>
      </c>
      <c r="H49" s="9">
        <f t="shared" si="29"/>
        <v>195950</v>
      </c>
      <c r="I49" s="9">
        <f t="shared" si="29"/>
        <v>192784.53624767123</v>
      </c>
      <c r="J49" s="9">
        <f t="shared" si="29"/>
        <v>185686.35880010959</v>
      </c>
      <c r="K49" s="9">
        <f t="shared" si="29"/>
        <v>157012.01535678358</v>
      </c>
      <c r="L49" s="9">
        <f t="shared" si="29"/>
        <v>169826.6513858918</v>
      </c>
      <c r="M49" s="9">
        <f t="shared" si="29"/>
        <v>191703.49557366193</v>
      </c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6.2" outlineLevel="1" thickTop="1">
      <c r="A50" s="5"/>
      <c r="B50" s="5"/>
      <c r="C50" s="50"/>
      <c r="D50" s="15"/>
      <c r="E50" s="15"/>
      <c r="F50" s="15"/>
      <c r="G50" s="15"/>
      <c r="H50" s="15"/>
      <c r="I50" s="5"/>
      <c r="J50" s="5"/>
      <c r="K50" s="5"/>
      <c r="L50" s="5"/>
      <c r="M50" s="5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.6" outlineLevel="1">
      <c r="A51" s="5" t="s">
        <v>27</v>
      </c>
      <c r="B51" s="6"/>
      <c r="C51" s="28"/>
      <c r="D51" s="19"/>
      <c r="E51" s="19"/>
      <c r="F51" s="19"/>
      <c r="G51" s="19"/>
      <c r="H51" s="19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.6" outlineLevel="1">
      <c r="A52" s="6" t="s">
        <v>28</v>
      </c>
      <c r="B52" s="6"/>
      <c r="C52" s="28"/>
      <c r="D52" s="19">
        <v>3902</v>
      </c>
      <c r="E52" s="19">
        <v>4800</v>
      </c>
      <c r="F52" s="19">
        <v>4912</v>
      </c>
      <c r="G52" s="19">
        <v>5266</v>
      </c>
      <c r="H52" s="19">
        <v>5670</v>
      </c>
      <c r="I52" s="6">
        <f>I27*I17/I21</f>
        <v>7061.086487671233</v>
      </c>
      <c r="J52" s="6">
        <f t="shared" ref="J52:M52" si="30">J27*J17/J21</f>
        <v>8691.8612241095907</v>
      </c>
      <c r="K52" s="6">
        <f t="shared" si="30"/>
        <v>10171.326964383563</v>
      </c>
      <c r="L52" s="6">
        <f t="shared" si="30"/>
        <v>8055.6909557917834</v>
      </c>
      <c r="M52" s="6">
        <f t="shared" si="30"/>
        <v>8615.1139388328793</v>
      </c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.6" outlineLevel="1">
      <c r="A53" s="6" t="s">
        <v>29</v>
      </c>
      <c r="B53" s="6"/>
      <c r="C53" s="24"/>
      <c r="D53" s="19">
        <v>50000</v>
      </c>
      <c r="E53" s="19">
        <v>50000</v>
      </c>
      <c r="F53" s="19">
        <v>30000</v>
      </c>
      <c r="G53" s="19">
        <v>30000</v>
      </c>
      <c r="H53" s="19">
        <v>30000</v>
      </c>
      <c r="I53" s="6">
        <f t="shared" ref="I53:M53" si="31">I105</f>
        <v>30000.000000000007</v>
      </c>
      <c r="J53" s="6">
        <f t="shared" si="31"/>
        <v>30000.000000000007</v>
      </c>
      <c r="K53" s="6">
        <f t="shared" si="31"/>
        <v>10000.000000000007</v>
      </c>
      <c r="L53" s="6">
        <f t="shared" si="31"/>
        <v>10000.000000000007</v>
      </c>
      <c r="M53" s="6">
        <f t="shared" si="31"/>
        <v>10000.000000000007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.6" outlineLevel="1">
      <c r="A54" s="7" t="s">
        <v>30</v>
      </c>
      <c r="B54" s="7"/>
      <c r="C54" s="42"/>
      <c r="D54" s="7">
        <f t="shared" ref="D54:M54" si="32">SUM(D52:D53)</f>
        <v>53902</v>
      </c>
      <c r="E54" s="7">
        <f t="shared" si="32"/>
        <v>54800</v>
      </c>
      <c r="F54" s="7">
        <f t="shared" si="32"/>
        <v>34912</v>
      </c>
      <c r="G54" s="7">
        <f t="shared" si="32"/>
        <v>35266</v>
      </c>
      <c r="H54" s="7">
        <f t="shared" si="32"/>
        <v>35670</v>
      </c>
      <c r="I54" s="7">
        <f t="shared" si="32"/>
        <v>37061.086487671244</v>
      </c>
      <c r="J54" s="7">
        <f t="shared" si="32"/>
        <v>38691.861224109598</v>
      </c>
      <c r="K54" s="7">
        <f t="shared" si="32"/>
        <v>20171.32696438357</v>
      </c>
      <c r="L54" s="7">
        <f t="shared" si="32"/>
        <v>18055.69095579179</v>
      </c>
      <c r="M54" s="7">
        <f t="shared" si="32"/>
        <v>18615.113938832888</v>
      </c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.6" outlineLevel="1">
      <c r="A55" s="5" t="s">
        <v>31</v>
      </c>
      <c r="B55" s="6"/>
      <c r="C55" s="24"/>
      <c r="D55" s="19"/>
      <c r="E55" s="19"/>
      <c r="F55" s="19"/>
      <c r="G55" s="19"/>
      <c r="H55" s="19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.6" outlineLevel="1">
      <c r="A56" s="6" t="s">
        <v>32</v>
      </c>
      <c r="B56" s="6"/>
      <c r="C56" s="24"/>
      <c r="D56" s="19">
        <v>70000</v>
      </c>
      <c r="E56" s="19">
        <v>70000</v>
      </c>
      <c r="F56" s="19">
        <v>70000</v>
      </c>
      <c r="G56" s="19">
        <v>70000</v>
      </c>
      <c r="H56" s="19">
        <v>70000</v>
      </c>
      <c r="I56" s="6">
        <f t="shared" ref="I56:M56" si="33">H56+I78</f>
        <v>70000</v>
      </c>
      <c r="J56" s="6">
        <f t="shared" si="33"/>
        <v>70000</v>
      </c>
      <c r="K56" s="6">
        <f t="shared" si="33"/>
        <v>70000</v>
      </c>
      <c r="L56" s="6">
        <f t="shared" si="33"/>
        <v>70000</v>
      </c>
      <c r="M56" s="6">
        <f t="shared" si="33"/>
        <v>70000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.6" outlineLevel="1">
      <c r="A57" s="6" t="s">
        <v>33</v>
      </c>
      <c r="B57" s="6"/>
      <c r="C57" s="24"/>
      <c r="D57" s="19">
        <v>2474</v>
      </c>
      <c r="E57" s="19">
        <v>14265</v>
      </c>
      <c r="F57" s="19">
        <v>35340</v>
      </c>
      <c r="G57" s="19">
        <v>62053</v>
      </c>
      <c r="H57" s="19">
        <v>90280</v>
      </c>
      <c r="I57" s="6">
        <f t="shared" ref="I57:M57" si="34">H57+I39</f>
        <v>85723.449760000003</v>
      </c>
      <c r="J57" s="6">
        <f t="shared" si="34"/>
        <v>76994.497576000009</v>
      </c>
      <c r="K57" s="6">
        <f t="shared" si="34"/>
        <v>66840.688392400014</v>
      </c>
      <c r="L57" s="6">
        <f t="shared" si="34"/>
        <v>81770.960430100022</v>
      </c>
      <c r="M57" s="6">
        <f t="shared" si="34"/>
        <v>103088.38163482904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.6" outlineLevel="1">
      <c r="A58" s="21" t="s">
        <v>31</v>
      </c>
      <c r="B58" s="21"/>
      <c r="C58" s="56"/>
      <c r="D58" s="21">
        <f t="shared" ref="D58:M58" si="35">SUM(D56:D57)</f>
        <v>72474</v>
      </c>
      <c r="E58" s="21">
        <f t="shared" si="35"/>
        <v>84265</v>
      </c>
      <c r="F58" s="21">
        <f t="shared" si="35"/>
        <v>105340</v>
      </c>
      <c r="G58" s="21">
        <f t="shared" si="35"/>
        <v>132053</v>
      </c>
      <c r="H58" s="21">
        <f t="shared" si="35"/>
        <v>160280</v>
      </c>
      <c r="I58" s="21">
        <f t="shared" si="35"/>
        <v>155723.44975999999</v>
      </c>
      <c r="J58" s="21">
        <f t="shared" si="35"/>
        <v>146994.49757599999</v>
      </c>
      <c r="K58" s="21">
        <f t="shared" si="35"/>
        <v>136840.68839240001</v>
      </c>
      <c r="L58" s="21">
        <f t="shared" si="35"/>
        <v>151770.96043010004</v>
      </c>
      <c r="M58" s="21">
        <f t="shared" si="35"/>
        <v>173088.38163482904</v>
      </c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6.2" outlineLevel="1" thickBot="1">
      <c r="A59" s="9" t="s">
        <v>34</v>
      </c>
      <c r="B59" s="9"/>
      <c r="C59" s="54"/>
      <c r="D59" s="9">
        <f>D54+D58</f>
        <v>126376</v>
      </c>
      <c r="E59" s="9">
        <f t="shared" ref="E59:M59" si="36">E54+E58</f>
        <v>139065</v>
      </c>
      <c r="F59" s="9">
        <f t="shared" si="36"/>
        <v>140252</v>
      </c>
      <c r="G59" s="9">
        <f t="shared" si="36"/>
        <v>167319</v>
      </c>
      <c r="H59" s="9">
        <f t="shared" si="36"/>
        <v>195950</v>
      </c>
      <c r="I59" s="9">
        <f t="shared" si="36"/>
        <v>192784.53624767123</v>
      </c>
      <c r="J59" s="9">
        <f t="shared" si="36"/>
        <v>185686.35880010959</v>
      </c>
      <c r="K59" s="9">
        <f t="shared" si="36"/>
        <v>157012.01535678358</v>
      </c>
      <c r="L59" s="9">
        <f t="shared" si="36"/>
        <v>169826.65138589183</v>
      </c>
      <c r="M59" s="9">
        <f t="shared" si="36"/>
        <v>191703.49557366193</v>
      </c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6.2" outlineLevel="1" thickTop="1">
      <c r="A60" s="6"/>
      <c r="B60" s="6"/>
      <c r="C60" s="24"/>
      <c r="D60" s="19"/>
      <c r="E60" s="19"/>
      <c r="F60" s="19"/>
      <c r="G60" s="19"/>
      <c r="H60" s="19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.6" outlineLevel="1">
      <c r="A61" s="47" t="s">
        <v>83</v>
      </c>
      <c r="B61" s="57"/>
      <c r="C61" s="58"/>
      <c r="D61" s="57">
        <f t="shared" ref="D61:M61" si="37">D59-D49</f>
        <v>0</v>
      </c>
      <c r="E61" s="57">
        <f t="shared" si="37"/>
        <v>0</v>
      </c>
      <c r="F61" s="57">
        <f t="shared" si="37"/>
        <v>0</v>
      </c>
      <c r="G61" s="57">
        <f t="shared" si="37"/>
        <v>0</v>
      </c>
      <c r="H61" s="57">
        <f t="shared" si="37"/>
        <v>0</v>
      </c>
      <c r="I61" s="57">
        <f t="shared" si="37"/>
        <v>0</v>
      </c>
      <c r="J61" s="57">
        <f t="shared" si="37"/>
        <v>0</v>
      </c>
      <c r="K61" s="57">
        <f t="shared" si="37"/>
        <v>0</v>
      </c>
      <c r="L61" s="57">
        <f t="shared" si="37"/>
        <v>0</v>
      </c>
      <c r="M61" s="57">
        <f t="shared" si="37"/>
        <v>0</v>
      </c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.6" outlineLevel="1">
      <c r="A62" s="57"/>
      <c r="B62" s="57"/>
      <c r="C62" s="58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.6">
      <c r="A63" s="6"/>
      <c r="B63" s="6"/>
      <c r="C63" s="24"/>
      <c r="D63" s="19"/>
      <c r="E63" s="19"/>
      <c r="F63" s="19"/>
      <c r="G63" s="19"/>
      <c r="H63" s="19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21">
      <c r="A64" s="2" t="s">
        <v>84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.6" outlineLevel="1">
      <c r="A65" s="5"/>
      <c r="B65" s="6"/>
      <c r="C65" s="24"/>
      <c r="D65" s="15"/>
      <c r="E65" s="19"/>
      <c r="F65" s="19"/>
      <c r="G65" s="19"/>
      <c r="H65" s="19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.6" outlineLevel="1">
      <c r="A66" s="5" t="s">
        <v>36</v>
      </c>
      <c r="B66" s="6"/>
      <c r="C66" s="24"/>
      <c r="D66" s="19"/>
      <c r="E66" s="19"/>
      <c r="F66" s="19"/>
      <c r="G66" s="19"/>
      <c r="H66" s="19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.6" outlineLevel="1">
      <c r="A67" s="6" t="s">
        <v>14</v>
      </c>
      <c r="B67" s="6"/>
      <c r="C67" s="24"/>
      <c r="D67" s="19">
        <v>2474</v>
      </c>
      <c r="E67" s="19">
        <v>11791</v>
      </c>
      <c r="F67" s="19">
        <v>21075</v>
      </c>
      <c r="G67" s="19">
        <v>26713</v>
      </c>
      <c r="H67" s="19">
        <v>28227</v>
      </c>
      <c r="I67" s="6">
        <f t="shared" ref="I67:M67" si="38">I39</f>
        <v>-4556.5502400000005</v>
      </c>
      <c r="J67" s="6">
        <f t="shared" si="38"/>
        <v>-8728.9521839999979</v>
      </c>
      <c r="K67" s="6">
        <f t="shared" si="38"/>
        <v>-10153.809183600002</v>
      </c>
      <c r="L67" s="6">
        <f t="shared" si="38"/>
        <v>14930.272037700013</v>
      </c>
      <c r="M67" s="6">
        <f t="shared" si="38"/>
        <v>21317.421204729017</v>
      </c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.6" outlineLevel="1">
      <c r="A68" s="6" t="s">
        <v>37</v>
      </c>
      <c r="B68" s="6"/>
      <c r="C68" s="24"/>
      <c r="D68" s="19">
        <v>19500</v>
      </c>
      <c r="E68" s="19">
        <v>18150</v>
      </c>
      <c r="F68" s="19">
        <v>17205</v>
      </c>
      <c r="G68" s="19">
        <v>16544</v>
      </c>
      <c r="H68" s="19">
        <v>16080</v>
      </c>
      <c r="I68" s="6">
        <f>I99</f>
        <v>13132.350000000002</v>
      </c>
      <c r="J68" s="6">
        <f t="shared" ref="J68:M68" si="39">J99</f>
        <v>13786.027500000002</v>
      </c>
      <c r="K68" s="6">
        <f t="shared" si="39"/>
        <v>14210.917875000001</v>
      </c>
      <c r="L68" s="6">
        <f t="shared" si="39"/>
        <v>14487.096618750002</v>
      </c>
      <c r="M68" s="6">
        <f t="shared" si="39"/>
        <v>14666.612802187501</v>
      </c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.6" outlineLevel="1">
      <c r="A69" s="6" t="s">
        <v>38</v>
      </c>
      <c r="B69" s="6"/>
      <c r="C69" s="24"/>
      <c r="D69" s="19">
        <v>9003</v>
      </c>
      <c r="E69" s="19">
        <v>1702</v>
      </c>
      <c r="F69" s="19">
        <v>775</v>
      </c>
      <c r="G69" s="19">
        <v>902</v>
      </c>
      <c r="H69" s="19">
        <v>828</v>
      </c>
      <c r="I69" s="6">
        <f>I94</f>
        <v>3174.9921972602751</v>
      </c>
      <c r="J69" s="6">
        <f t="shared" ref="J69:M69" si="40">J94</f>
        <v>5062.2628416438383</v>
      </c>
      <c r="K69" s="6">
        <f t="shared" si="40"/>
        <v>5767.9171090411</v>
      </c>
      <c r="L69" s="6">
        <f t="shared" si="40"/>
        <v>-2612.6565262027398</v>
      </c>
      <c r="M69" s="6">
        <f t="shared" si="40"/>
        <v>2041.1379110958951</v>
      </c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.6" outlineLevel="1">
      <c r="A70" s="7" t="s">
        <v>39</v>
      </c>
      <c r="B70" s="25"/>
      <c r="C70" s="26"/>
      <c r="D70" s="7">
        <f t="shared" ref="D70:M70" si="41">D67+D68-D69</f>
        <v>12971</v>
      </c>
      <c r="E70" s="7">
        <f t="shared" si="41"/>
        <v>28239</v>
      </c>
      <c r="F70" s="7">
        <f t="shared" si="41"/>
        <v>37505</v>
      </c>
      <c r="G70" s="7">
        <f t="shared" si="41"/>
        <v>42355</v>
      </c>
      <c r="H70" s="7">
        <f t="shared" si="41"/>
        <v>43479</v>
      </c>
      <c r="I70" s="7">
        <f t="shared" si="41"/>
        <v>5400.8075627397266</v>
      </c>
      <c r="J70" s="7">
        <f t="shared" si="41"/>
        <v>-5.1875256438343058</v>
      </c>
      <c r="K70" s="7">
        <f t="shared" si="41"/>
        <v>-1710.8084176411012</v>
      </c>
      <c r="L70" s="7">
        <f t="shared" si="41"/>
        <v>32030.025182652756</v>
      </c>
      <c r="M70" s="7">
        <f t="shared" si="41"/>
        <v>33942.896095820623</v>
      </c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.6" outlineLevel="1">
      <c r="A71" s="5"/>
      <c r="B71" s="6"/>
      <c r="C71" s="24"/>
      <c r="D71" s="15"/>
      <c r="E71" s="15"/>
      <c r="F71" s="15"/>
      <c r="G71" s="15"/>
      <c r="H71" s="15"/>
      <c r="I71" s="5"/>
      <c r="J71" s="5"/>
      <c r="K71" s="5"/>
      <c r="L71" s="5"/>
      <c r="M71" s="5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.6" outlineLevel="1">
      <c r="A72" s="5" t="s">
        <v>40</v>
      </c>
      <c r="B72" s="6"/>
      <c r="C72" s="24"/>
      <c r="D72" s="19"/>
      <c r="E72" s="19"/>
      <c r="F72" s="19"/>
      <c r="G72" s="19"/>
      <c r="H72" s="19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.6" outlineLevel="1">
      <c r="A73" s="6" t="s">
        <v>41</v>
      </c>
      <c r="B73" s="6"/>
      <c r="C73" s="24"/>
      <c r="D73" s="19">
        <v>15000</v>
      </c>
      <c r="E73" s="19">
        <v>15000</v>
      </c>
      <c r="F73" s="19">
        <v>15000</v>
      </c>
      <c r="G73" s="19">
        <v>15000</v>
      </c>
      <c r="H73" s="19">
        <v>15000</v>
      </c>
      <c r="I73" s="6">
        <f t="shared" ref="I73:M73" si="42">I98</f>
        <v>15000</v>
      </c>
      <c r="J73" s="6">
        <f t="shared" si="42"/>
        <v>15000</v>
      </c>
      <c r="K73" s="6">
        <f t="shared" si="42"/>
        <v>15000</v>
      </c>
      <c r="L73" s="6">
        <f t="shared" si="42"/>
        <v>15000</v>
      </c>
      <c r="M73" s="6">
        <f t="shared" si="42"/>
        <v>15000</v>
      </c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.6" outlineLevel="1">
      <c r="A74" s="7" t="s">
        <v>42</v>
      </c>
      <c r="B74" s="25"/>
      <c r="C74" s="26"/>
      <c r="D74" s="7">
        <f t="shared" ref="D74:M74" si="43">SUM(D73)</f>
        <v>15000</v>
      </c>
      <c r="E74" s="7">
        <f t="shared" si="43"/>
        <v>15000</v>
      </c>
      <c r="F74" s="7">
        <f t="shared" si="43"/>
        <v>15000</v>
      </c>
      <c r="G74" s="7">
        <f t="shared" si="43"/>
        <v>15000</v>
      </c>
      <c r="H74" s="7">
        <f t="shared" si="43"/>
        <v>15000</v>
      </c>
      <c r="I74" s="7">
        <f t="shared" si="43"/>
        <v>15000</v>
      </c>
      <c r="J74" s="7">
        <f t="shared" si="43"/>
        <v>15000</v>
      </c>
      <c r="K74" s="7">
        <f t="shared" si="43"/>
        <v>15000</v>
      </c>
      <c r="L74" s="7">
        <f t="shared" si="43"/>
        <v>15000</v>
      </c>
      <c r="M74" s="7">
        <f t="shared" si="43"/>
        <v>15000</v>
      </c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.6" outlineLevel="1">
      <c r="A75" s="5"/>
      <c r="B75" s="6"/>
      <c r="C75" s="24"/>
      <c r="D75" s="15"/>
      <c r="E75" s="15"/>
      <c r="F75" s="15"/>
      <c r="G75" s="15"/>
      <c r="H75" s="15"/>
      <c r="I75" s="5"/>
      <c r="J75" s="5"/>
      <c r="K75" s="5"/>
      <c r="L75" s="5"/>
      <c r="M75" s="5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.6" outlineLevel="1">
      <c r="A76" s="5" t="s">
        <v>43</v>
      </c>
      <c r="B76" s="6"/>
      <c r="C76" s="24"/>
      <c r="D76" s="19"/>
      <c r="E76" s="19"/>
      <c r="F76" s="19"/>
      <c r="G76" s="19"/>
      <c r="H76" s="19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.6" outlineLevel="1">
      <c r="A77" s="6" t="s">
        <v>44</v>
      </c>
      <c r="B77" s="6"/>
      <c r="C77" s="24"/>
      <c r="D77" s="19">
        <v>0</v>
      </c>
      <c r="E77" s="19">
        <v>0</v>
      </c>
      <c r="F77" s="19">
        <v>-20000</v>
      </c>
      <c r="G77" s="19">
        <v>0</v>
      </c>
      <c r="H77" s="19">
        <v>0</v>
      </c>
      <c r="I77" s="6">
        <f t="shared" ref="I77:M77" si="44">I104</f>
        <v>0</v>
      </c>
      <c r="J77" s="6">
        <f t="shared" si="44"/>
        <v>0</v>
      </c>
      <c r="K77" s="6">
        <f t="shared" si="44"/>
        <v>-20000</v>
      </c>
      <c r="L77" s="6">
        <f t="shared" si="44"/>
        <v>0</v>
      </c>
      <c r="M77" s="6">
        <f t="shared" si="44"/>
        <v>0</v>
      </c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.6" outlineLevel="1">
      <c r="A78" s="6" t="s">
        <v>45</v>
      </c>
      <c r="B78" s="6"/>
      <c r="C78" s="24"/>
      <c r="D78" s="19">
        <v>70000</v>
      </c>
      <c r="E78" s="19">
        <v>0</v>
      </c>
      <c r="F78" s="19">
        <v>0</v>
      </c>
      <c r="G78" s="19">
        <v>0</v>
      </c>
      <c r="H78" s="19">
        <v>0</v>
      </c>
      <c r="I78" s="6">
        <f t="shared" ref="I78:M78" si="45">I20</f>
        <v>0</v>
      </c>
      <c r="J78" s="6">
        <f t="shared" si="45"/>
        <v>0</v>
      </c>
      <c r="K78" s="6">
        <f t="shared" si="45"/>
        <v>0</v>
      </c>
      <c r="L78" s="6">
        <f t="shared" si="45"/>
        <v>0</v>
      </c>
      <c r="M78" s="6">
        <f t="shared" si="45"/>
        <v>0</v>
      </c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5.6" outlineLevel="1">
      <c r="A79" s="7" t="s">
        <v>46</v>
      </c>
      <c r="B79" s="25"/>
      <c r="C79" s="26"/>
      <c r="D79" s="7">
        <f t="shared" ref="D79:M79" si="46">SUM(D77:D78)</f>
        <v>70000</v>
      </c>
      <c r="E79" s="7">
        <f t="shared" si="46"/>
        <v>0</v>
      </c>
      <c r="F79" s="7">
        <f t="shared" si="46"/>
        <v>-20000</v>
      </c>
      <c r="G79" s="7">
        <f t="shared" si="46"/>
        <v>0</v>
      </c>
      <c r="H79" s="7">
        <f t="shared" si="46"/>
        <v>0</v>
      </c>
      <c r="I79" s="7">
        <f t="shared" si="46"/>
        <v>0</v>
      </c>
      <c r="J79" s="7">
        <f t="shared" si="46"/>
        <v>0</v>
      </c>
      <c r="K79" s="7">
        <f t="shared" si="46"/>
        <v>-20000</v>
      </c>
      <c r="L79" s="7">
        <f t="shared" si="46"/>
        <v>0</v>
      </c>
      <c r="M79" s="7">
        <f t="shared" si="46"/>
        <v>0</v>
      </c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5.6" outlineLevel="1">
      <c r="A80" s="5"/>
      <c r="B80" s="6"/>
      <c r="C80" s="24"/>
      <c r="D80" s="15"/>
      <c r="E80" s="15"/>
      <c r="F80" s="15"/>
      <c r="G80" s="15"/>
      <c r="H80" s="15"/>
      <c r="I80" s="5"/>
      <c r="J80" s="5"/>
      <c r="K80" s="5"/>
      <c r="L80" s="5"/>
      <c r="M80" s="5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.6" outlineLevel="1">
      <c r="A81" s="6" t="s">
        <v>47</v>
      </c>
      <c r="B81" s="6"/>
      <c r="C81" s="24"/>
      <c r="D81" s="6">
        <f t="shared" ref="D81:M81" si="47">D70-D74+D79</f>
        <v>67971</v>
      </c>
      <c r="E81" s="6">
        <f t="shared" si="47"/>
        <v>13239</v>
      </c>
      <c r="F81" s="6">
        <f t="shared" si="47"/>
        <v>2505</v>
      </c>
      <c r="G81" s="6">
        <f t="shared" si="47"/>
        <v>27355</v>
      </c>
      <c r="H81" s="6">
        <f t="shared" si="47"/>
        <v>28479</v>
      </c>
      <c r="I81" s="6">
        <f t="shared" si="47"/>
        <v>-9599.1924372602734</v>
      </c>
      <c r="J81" s="6">
        <f t="shared" si="47"/>
        <v>-15005.187525643834</v>
      </c>
      <c r="K81" s="6">
        <f t="shared" si="47"/>
        <v>-36710.808417641099</v>
      </c>
      <c r="L81" s="6">
        <f t="shared" si="47"/>
        <v>17030.025182652756</v>
      </c>
      <c r="M81" s="6">
        <f t="shared" si="47"/>
        <v>18942.896095820623</v>
      </c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.6" outlineLevel="1">
      <c r="A82" s="6" t="s">
        <v>48</v>
      </c>
      <c r="B82" s="6"/>
      <c r="C82" s="24"/>
      <c r="D82" s="19">
        <v>0</v>
      </c>
      <c r="E82" s="6">
        <f t="shared" ref="E82:M82" si="48">D83</f>
        <v>67971</v>
      </c>
      <c r="F82" s="6">
        <f t="shared" si="48"/>
        <v>81210</v>
      </c>
      <c r="G82" s="6">
        <f t="shared" si="48"/>
        <v>83715</v>
      </c>
      <c r="H82" s="6">
        <f t="shared" si="48"/>
        <v>111070</v>
      </c>
      <c r="I82" s="6">
        <f t="shared" si="48"/>
        <v>139549</v>
      </c>
      <c r="J82" s="6">
        <f t="shared" si="48"/>
        <v>129949.80756273973</v>
      </c>
      <c r="K82" s="6">
        <f t="shared" si="48"/>
        <v>114944.6200370959</v>
      </c>
      <c r="L82" s="6">
        <f t="shared" si="48"/>
        <v>78233.811619454791</v>
      </c>
      <c r="M82" s="6">
        <f t="shared" si="48"/>
        <v>95263.836802107544</v>
      </c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.6" outlineLevel="1">
      <c r="A83" s="7" t="s">
        <v>49</v>
      </c>
      <c r="B83" s="25"/>
      <c r="C83" s="26"/>
      <c r="D83" s="7">
        <f t="shared" ref="D83:M83" si="49">SUM(D81:D82)</f>
        <v>67971</v>
      </c>
      <c r="E83" s="7">
        <f t="shared" si="49"/>
        <v>81210</v>
      </c>
      <c r="F83" s="7">
        <f t="shared" si="49"/>
        <v>83715</v>
      </c>
      <c r="G83" s="7">
        <f t="shared" si="49"/>
        <v>111070</v>
      </c>
      <c r="H83" s="7">
        <f t="shared" si="49"/>
        <v>139549</v>
      </c>
      <c r="I83" s="7">
        <f t="shared" si="49"/>
        <v>129949.80756273973</v>
      </c>
      <c r="J83" s="7">
        <f t="shared" si="49"/>
        <v>114944.6200370959</v>
      </c>
      <c r="K83" s="7">
        <f t="shared" si="49"/>
        <v>78233.811619454791</v>
      </c>
      <c r="L83" s="7">
        <f t="shared" si="49"/>
        <v>95263.836802107544</v>
      </c>
      <c r="M83" s="7">
        <f t="shared" si="49"/>
        <v>114206.73289792816</v>
      </c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.6" outlineLevel="1">
      <c r="A84" s="5"/>
      <c r="B84" s="6"/>
      <c r="C84" s="24"/>
      <c r="D84" s="15"/>
      <c r="E84" s="15"/>
      <c r="F84" s="15"/>
      <c r="G84" s="15"/>
      <c r="H84" s="15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.6" outlineLevel="1">
      <c r="A85" s="5"/>
      <c r="B85" s="6"/>
      <c r="C85" s="24"/>
      <c r="D85" s="15"/>
      <c r="E85" s="19"/>
      <c r="F85" s="19"/>
      <c r="G85" s="19"/>
      <c r="H85" s="19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.6">
      <c r="A86" s="6"/>
      <c r="B86" s="6"/>
      <c r="C86" s="24"/>
      <c r="D86" s="19"/>
      <c r="E86" s="19"/>
      <c r="F86" s="19"/>
      <c r="G86" s="19"/>
      <c r="H86" s="19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21">
      <c r="A87" s="2" t="s">
        <v>50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.6" outlineLevel="1">
      <c r="A88" s="6"/>
      <c r="B88" s="6"/>
      <c r="C88" s="24"/>
      <c r="D88" s="19"/>
      <c r="E88" s="19"/>
      <c r="F88" s="19"/>
      <c r="G88" s="19"/>
      <c r="H88" s="19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.6" outlineLevel="1">
      <c r="A89" s="5" t="s">
        <v>51</v>
      </c>
      <c r="B89" s="6"/>
      <c r="C89" s="24"/>
      <c r="D89" s="19"/>
      <c r="E89" s="19"/>
      <c r="F89" s="19"/>
      <c r="G89" s="19"/>
      <c r="H89" s="19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5.6" outlineLevel="1">
      <c r="A90" s="6" t="s">
        <v>23</v>
      </c>
      <c r="B90" s="6"/>
      <c r="C90" s="24"/>
      <c r="D90" s="6">
        <f t="shared" ref="D90:M91" si="50">D46</f>
        <v>5100</v>
      </c>
      <c r="E90" s="6">
        <f t="shared" si="50"/>
        <v>5904</v>
      </c>
      <c r="F90" s="6">
        <f t="shared" si="50"/>
        <v>6567</v>
      </c>
      <c r="G90" s="6">
        <f t="shared" si="50"/>
        <v>7117</v>
      </c>
      <c r="H90" s="6">
        <f t="shared" si="50"/>
        <v>7538</v>
      </c>
      <c r="I90" s="6">
        <f t="shared" si="50"/>
        <v>8178.8646575342473</v>
      </c>
      <c r="J90" s="6">
        <f t="shared" si="50"/>
        <v>8996.7511232876732</v>
      </c>
      <c r="K90" s="6">
        <f t="shared" si="50"/>
        <v>9896.42623561644</v>
      </c>
      <c r="L90" s="6">
        <f t="shared" si="50"/>
        <v>10886.068859178085</v>
      </c>
      <c r="M90" s="6">
        <f t="shared" si="50"/>
        <v>11974.675745095894</v>
      </c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.6" outlineLevel="1">
      <c r="A91" s="6" t="s">
        <v>24</v>
      </c>
      <c r="B91" s="6"/>
      <c r="C91" s="24"/>
      <c r="D91" s="6">
        <f t="shared" si="50"/>
        <v>7805</v>
      </c>
      <c r="E91" s="6">
        <f t="shared" si="50"/>
        <v>9601</v>
      </c>
      <c r="F91" s="6">
        <f t="shared" si="50"/>
        <v>9825</v>
      </c>
      <c r="G91" s="6">
        <f t="shared" si="50"/>
        <v>10531</v>
      </c>
      <c r="H91" s="6">
        <f t="shared" si="50"/>
        <v>11342</v>
      </c>
      <c r="I91" s="6">
        <f t="shared" si="50"/>
        <v>15267.21402739726</v>
      </c>
      <c r="J91" s="6">
        <f t="shared" si="50"/>
        <v>21142.365139726033</v>
      </c>
      <c r="K91" s="6">
        <f t="shared" si="50"/>
        <v>27490.072876712333</v>
      </c>
      <c r="L91" s="6">
        <f t="shared" si="50"/>
        <v>21772.137718356171</v>
      </c>
      <c r="M91" s="6">
        <f t="shared" si="50"/>
        <v>23284.091726575352</v>
      </c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5.6" outlineLevel="1">
      <c r="A92" s="6" t="s">
        <v>28</v>
      </c>
      <c r="B92" s="6"/>
      <c r="C92" s="24"/>
      <c r="D92" s="6">
        <f t="shared" ref="D92:M92" si="51">D52</f>
        <v>3902</v>
      </c>
      <c r="E92" s="6">
        <f t="shared" si="51"/>
        <v>4800</v>
      </c>
      <c r="F92" s="6">
        <f t="shared" si="51"/>
        <v>4912</v>
      </c>
      <c r="G92" s="6">
        <f t="shared" si="51"/>
        <v>5266</v>
      </c>
      <c r="H92" s="6">
        <f t="shared" si="51"/>
        <v>5670</v>
      </c>
      <c r="I92" s="6">
        <f t="shared" si="51"/>
        <v>7061.086487671233</v>
      </c>
      <c r="J92" s="6">
        <f t="shared" si="51"/>
        <v>8691.8612241095907</v>
      </c>
      <c r="K92" s="6">
        <f t="shared" si="51"/>
        <v>10171.326964383563</v>
      </c>
      <c r="L92" s="6">
        <f t="shared" si="51"/>
        <v>8055.6909557917834</v>
      </c>
      <c r="M92" s="6">
        <f t="shared" si="51"/>
        <v>8615.1139388328793</v>
      </c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5.6" outlineLevel="1">
      <c r="A93" s="25" t="s">
        <v>52</v>
      </c>
      <c r="B93" s="25"/>
      <c r="C93" s="26"/>
      <c r="D93" s="25">
        <f t="shared" ref="D93:M93" si="52">D90+D91-D92</f>
        <v>9003</v>
      </c>
      <c r="E93" s="25">
        <f t="shared" si="52"/>
        <v>10705</v>
      </c>
      <c r="F93" s="25">
        <f t="shared" si="52"/>
        <v>11480</v>
      </c>
      <c r="G93" s="25">
        <f t="shared" si="52"/>
        <v>12382</v>
      </c>
      <c r="H93" s="25">
        <f t="shared" si="52"/>
        <v>13210</v>
      </c>
      <c r="I93" s="25">
        <f t="shared" si="52"/>
        <v>16384.992197260275</v>
      </c>
      <c r="J93" s="25">
        <f t="shared" si="52"/>
        <v>21447.255038904113</v>
      </c>
      <c r="K93" s="25">
        <f t="shared" si="52"/>
        <v>27215.172147945214</v>
      </c>
      <c r="L93" s="25">
        <f t="shared" si="52"/>
        <v>24602.515621742474</v>
      </c>
      <c r="M93" s="25">
        <f t="shared" si="52"/>
        <v>26643.653532838369</v>
      </c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5.6" outlineLevel="1">
      <c r="A94" s="6" t="s">
        <v>53</v>
      </c>
      <c r="B94" s="6"/>
      <c r="C94" s="24"/>
      <c r="D94" s="6">
        <f t="shared" ref="D94:M94" si="53">D93-C93</f>
        <v>9003</v>
      </c>
      <c r="E94" s="6">
        <f t="shared" si="53"/>
        <v>1702</v>
      </c>
      <c r="F94" s="6">
        <f t="shared" si="53"/>
        <v>775</v>
      </c>
      <c r="G94" s="6">
        <f t="shared" si="53"/>
        <v>902</v>
      </c>
      <c r="H94" s="6">
        <f t="shared" si="53"/>
        <v>828</v>
      </c>
      <c r="I94" s="6">
        <f t="shared" si="53"/>
        <v>3174.9921972602751</v>
      </c>
      <c r="J94" s="6">
        <f t="shared" si="53"/>
        <v>5062.2628416438383</v>
      </c>
      <c r="K94" s="6">
        <f t="shared" si="53"/>
        <v>5767.9171090411</v>
      </c>
      <c r="L94" s="6">
        <f t="shared" si="53"/>
        <v>-2612.6565262027398</v>
      </c>
      <c r="M94" s="6">
        <f t="shared" si="53"/>
        <v>2041.1379110958951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5.6" outlineLevel="1">
      <c r="A95" s="6"/>
      <c r="B95" s="6"/>
      <c r="C95" s="24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5.6" outlineLevel="1">
      <c r="A96" s="5" t="s">
        <v>54</v>
      </c>
      <c r="B96" s="6"/>
      <c r="C96" s="24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5.6" outlineLevel="1">
      <c r="A97" s="6" t="s">
        <v>55</v>
      </c>
      <c r="B97" s="6"/>
      <c r="C97" s="24"/>
      <c r="D97" s="19">
        <v>50000.000000000007</v>
      </c>
      <c r="E97" s="6">
        <f t="shared" ref="E97:M97" si="54">D100</f>
        <v>45500.000000000007</v>
      </c>
      <c r="F97" s="6">
        <f t="shared" si="54"/>
        <v>42350.000000000007</v>
      </c>
      <c r="G97" s="6">
        <f t="shared" si="54"/>
        <v>40145.000000000007</v>
      </c>
      <c r="H97" s="6">
        <f t="shared" si="54"/>
        <v>38601.000000000007</v>
      </c>
      <c r="I97" s="6">
        <f t="shared" si="54"/>
        <v>37521.000000000007</v>
      </c>
      <c r="J97" s="6">
        <f t="shared" si="54"/>
        <v>39388.650000000009</v>
      </c>
      <c r="K97" s="6">
        <f t="shared" si="54"/>
        <v>40602.622500000005</v>
      </c>
      <c r="L97" s="6">
        <f t="shared" si="54"/>
        <v>41391.704625000006</v>
      </c>
      <c r="M97" s="6">
        <f t="shared" si="54"/>
        <v>41904.608006250004</v>
      </c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5.6" outlineLevel="1">
      <c r="A98" s="6" t="s">
        <v>56</v>
      </c>
      <c r="B98" s="6"/>
      <c r="C98" s="24"/>
      <c r="D98" s="6">
        <f t="shared" ref="D98:H98" si="55">D73</f>
        <v>15000</v>
      </c>
      <c r="E98" s="6">
        <f t="shared" si="55"/>
        <v>15000</v>
      </c>
      <c r="F98" s="6">
        <f t="shared" si="55"/>
        <v>15000</v>
      </c>
      <c r="G98" s="6">
        <f t="shared" si="55"/>
        <v>15000</v>
      </c>
      <c r="H98" s="6">
        <f t="shared" si="55"/>
        <v>15000</v>
      </c>
      <c r="I98" s="6">
        <f t="shared" ref="I98:M98" si="56">I18</f>
        <v>15000</v>
      </c>
      <c r="J98" s="6">
        <f t="shared" si="56"/>
        <v>15000</v>
      </c>
      <c r="K98" s="6">
        <f t="shared" si="56"/>
        <v>15000</v>
      </c>
      <c r="L98" s="6">
        <f t="shared" si="56"/>
        <v>15000</v>
      </c>
      <c r="M98" s="6">
        <f t="shared" si="56"/>
        <v>15000</v>
      </c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5.6" outlineLevel="1">
      <c r="A99" s="6" t="s">
        <v>57</v>
      </c>
      <c r="B99" s="6"/>
      <c r="C99" s="28"/>
      <c r="D99" s="6">
        <f t="shared" ref="D99:H99" si="57">D68</f>
        <v>19500</v>
      </c>
      <c r="E99" s="6">
        <f t="shared" si="57"/>
        <v>18150</v>
      </c>
      <c r="F99" s="6">
        <f t="shared" si="57"/>
        <v>17205</v>
      </c>
      <c r="G99" s="6">
        <f t="shared" si="57"/>
        <v>16544</v>
      </c>
      <c r="H99" s="6">
        <f t="shared" si="57"/>
        <v>16080</v>
      </c>
      <c r="I99" s="6">
        <f>I97*I12</f>
        <v>13132.350000000002</v>
      </c>
      <c r="J99" s="6">
        <f t="shared" ref="J99:M99" si="58">J97*J12</f>
        <v>13786.027500000002</v>
      </c>
      <c r="K99" s="6">
        <f t="shared" si="58"/>
        <v>14210.917875000001</v>
      </c>
      <c r="L99" s="6">
        <f t="shared" si="58"/>
        <v>14487.096618750002</v>
      </c>
      <c r="M99" s="6">
        <f t="shared" si="58"/>
        <v>14666.612802187501</v>
      </c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5.6" outlineLevel="1">
      <c r="A100" s="25" t="s">
        <v>58</v>
      </c>
      <c r="B100" s="25"/>
      <c r="C100" s="26"/>
      <c r="D100" s="25">
        <f t="shared" ref="D100:M100" si="59">D97+D98-D99</f>
        <v>45500.000000000007</v>
      </c>
      <c r="E100" s="25">
        <f t="shared" si="59"/>
        <v>42350.000000000007</v>
      </c>
      <c r="F100" s="25">
        <f t="shared" si="59"/>
        <v>40145.000000000007</v>
      </c>
      <c r="G100" s="25">
        <f t="shared" si="59"/>
        <v>38601.000000000007</v>
      </c>
      <c r="H100" s="25">
        <f t="shared" si="59"/>
        <v>37521.000000000007</v>
      </c>
      <c r="I100" s="25">
        <f t="shared" si="59"/>
        <v>39388.650000000009</v>
      </c>
      <c r="J100" s="25">
        <f t="shared" si="59"/>
        <v>40602.622500000005</v>
      </c>
      <c r="K100" s="25">
        <f t="shared" si="59"/>
        <v>41391.704625000006</v>
      </c>
      <c r="L100" s="25">
        <f t="shared" si="59"/>
        <v>41904.608006250004</v>
      </c>
      <c r="M100" s="25">
        <f t="shared" si="59"/>
        <v>42237.995204062507</v>
      </c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.6" outlineLevel="1">
      <c r="A101" s="6"/>
      <c r="B101" s="6"/>
      <c r="C101" s="24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.6" outlineLevel="1">
      <c r="A102" s="5" t="s">
        <v>59</v>
      </c>
      <c r="B102" s="6"/>
      <c r="C102" s="24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5.6" outlineLevel="1">
      <c r="A103" s="6" t="s">
        <v>60</v>
      </c>
      <c r="B103" s="6"/>
      <c r="C103" s="24"/>
      <c r="D103" s="19">
        <v>50000.000000000007</v>
      </c>
      <c r="E103" s="6">
        <f t="shared" ref="E103:M103" si="60">D105</f>
        <v>50000.000000000007</v>
      </c>
      <c r="F103" s="6">
        <f t="shared" si="60"/>
        <v>50000.000000000007</v>
      </c>
      <c r="G103" s="6">
        <f t="shared" si="60"/>
        <v>30000.000000000007</v>
      </c>
      <c r="H103" s="6">
        <f t="shared" si="60"/>
        <v>30000.000000000007</v>
      </c>
      <c r="I103" s="6">
        <f t="shared" si="60"/>
        <v>30000.000000000007</v>
      </c>
      <c r="J103" s="6">
        <f t="shared" si="60"/>
        <v>30000.000000000007</v>
      </c>
      <c r="K103" s="6">
        <f t="shared" si="60"/>
        <v>30000.000000000007</v>
      </c>
      <c r="L103" s="6">
        <f t="shared" si="60"/>
        <v>10000.000000000007</v>
      </c>
      <c r="M103" s="6">
        <f t="shared" si="60"/>
        <v>10000.000000000007</v>
      </c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.6" outlineLevel="1">
      <c r="A104" s="6" t="s">
        <v>61</v>
      </c>
      <c r="B104" s="6"/>
      <c r="C104" s="24"/>
      <c r="D104" s="6">
        <f t="shared" ref="D104:H104" si="61">D77</f>
        <v>0</v>
      </c>
      <c r="E104" s="6">
        <f t="shared" si="61"/>
        <v>0</v>
      </c>
      <c r="F104" s="6">
        <f t="shared" si="61"/>
        <v>-20000</v>
      </c>
      <c r="G104" s="6">
        <f t="shared" si="61"/>
        <v>0</v>
      </c>
      <c r="H104" s="6">
        <f t="shared" si="61"/>
        <v>0</v>
      </c>
      <c r="I104" s="6">
        <f t="shared" ref="I104:M104" si="62">I19</f>
        <v>0</v>
      </c>
      <c r="J104" s="6">
        <f t="shared" si="62"/>
        <v>0</v>
      </c>
      <c r="K104" s="6">
        <f t="shared" si="62"/>
        <v>-20000</v>
      </c>
      <c r="L104" s="6">
        <f t="shared" si="62"/>
        <v>0</v>
      </c>
      <c r="M104" s="6">
        <f t="shared" si="62"/>
        <v>0</v>
      </c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.6" outlineLevel="1">
      <c r="A105" s="25" t="s">
        <v>62</v>
      </c>
      <c r="B105" s="25"/>
      <c r="C105" s="26"/>
      <c r="D105" s="25">
        <f t="shared" ref="D105:M105" si="63">D103+D104</f>
        <v>50000.000000000007</v>
      </c>
      <c r="E105" s="25">
        <f t="shared" si="63"/>
        <v>50000.000000000007</v>
      </c>
      <c r="F105" s="25">
        <f t="shared" si="63"/>
        <v>30000.000000000007</v>
      </c>
      <c r="G105" s="25">
        <f t="shared" si="63"/>
        <v>30000.000000000007</v>
      </c>
      <c r="H105" s="25">
        <f t="shared" si="63"/>
        <v>30000.000000000007</v>
      </c>
      <c r="I105" s="25">
        <f t="shared" si="63"/>
        <v>30000.000000000007</v>
      </c>
      <c r="J105" s="25">
        <f t="shared" si="63"/>
        <v>30000.000000000007</v>
      </c>
      <c r="K105" s="25">
        <f t="shared" si="63"/>
        <v>10000.000000000007</v>
      </c>
      <c r="L105" s="25">
        <f t="shared" si="63"/>
        <v>10000.000000000007</v>
      </c>
      <c r="M105" s="25">
        <f t="shared" si="63"/>
        <v>10000.000000000007</v>
      </c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.6" outlineLevel="1">
      <c r="A106" s="6" t="s">
        <v>19</v>
      </c>
      <c r="B106" s="6"/>
      <c r="C106" s="28"/>
      <c r="D106" s="6">
        <f t="shared" ref="D106:H106" si="64">D34</f>
        <v>2500</v>
      </c>
      <c r="E106" s="6">
        <f t="shared" si="64"/>
        <v>2500</v>
      </c>
      <c r="F106" s="6">
        <f t="shared" si="64"/>
        <v>1500</v>
      </c>
      <c r="G106" s="6">
        <f t="shared" si="64"/>
        <v>1500</v>
      </c>
      <c r="H106" s="6">
        <f t="shared" si="64"/>
        <v>1500</v>
      </c>
      <c r="I106" s="6">
        <f t="shared" ref="I106:M106" si="65">AVERAGE(I103,I105)*I13</f>
        <v>3000.0000000000009</v>
      </c>
      <c r="J106" s="6">
        <f t="shared" si="65"/>
        <v>3000.0000000000009</v>
      </c>
      <c r="K106" s="6">
        <f t="shared" si="65"/>
        <v>2000.0000000000009</v>
      </c>
      <c r="L106" s="6">
        <f t="shared" si="65"/>
        <v>1000.0000000000008</v>
      </c>
      <c r="M106" s="6">
        <f t="shared" si="65"/>
        <v>1000.0000000000008</v>
      </c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.6" outlineLevel="1">
      <c r="A107" s="6"/>
      <c r="B107" s="6"/>
      <c r="C107" s="24"/>
      <c r="D107" s="173">
        <f>D106/D103</f>
        <v>4.9999999999999996E-2</v>
      </c>
      <c r="E107" s="19"/>
      <c r="F107" s="19"/>
      <c r="G107" s="19"/>
      <c r="H107" s="19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.6" outlineLevel="1">
      <c r="A108" s="6"/>
      <c r="B108" s="6"/>
      <c r="C108" s="24"/>
      <c r="D108" s="19"/>
      <c r="E108" s="19"/>
      <c r="F108" s="19"/>
      <c r="G108" s="19"/>
      <c r="H108" s="19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.6">
      <c r="A109" s="6"/>
      <c r="B109" s="6"/>
      <c r="C109" s="24"/>
      <c r="D109" s="19"/>
      <c r="E109" s="19"/>
      <c r="F109" s="19"/>
      <c r="G109" s="19"/>
      <c r="H109" s="19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21">
      <c r="A110" s="2" t="s">
        <v>63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.6" outlineLevel="1">
      <c r="A111" s="6"/>
      <c r="B111" s="6"/>
      <c r="C111" s="24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.6" outlineLevel="1">
      <c r="A112" s="6" t="s">
        <v>3</v>
      </c>
      <c r="B112" s="6"/>
      <c r="C112" s="24"/>
      <c r="D112" s="6">
        <f t="shared" ref="D112:M112" si="66">D26</f>
        <v>102007</v>
      </c>
      <c r="E112" s="6">
        <f t="shared" si="66"/>
        <v>118086</v>
      </c>
      <c r="F112" s="6">
        <f t="shared" si="66"/>
        <v>131345</v>
      </c>
      <c r="G112" s="6">
        <f t="shared" si="66"/>
        <v>142341</v>
      </c>
      <c r="H112" s="6">
        <f t="shared" si="66"/>
        <v>150772</v>
      </c>
      <c r="I112" s="6">
        <f t="shared" si="66"/>
        <v>165849.20000000001</v>
      </c>
      <c r="J112" s="6">
        <f t="shared" si="66"/>
        <v>182434.12000000002</v>
      </c>
      <c r="K112" s="6">
        <f t="shared" si="66"/>
        <v>200677.53200000004</v>
      </c>
      <c r="L112" s="6">
        <f t="shared" si="66"/>
        <v>220745.28520000007</v>
      </c>
      <c r="M112" s="6">
        <f t="shared" si="66"/>
        <v>242819.81372000009</v>
      </c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.6" outlineLevel="1">
      <c r="A113" s="6" t="s">
        <v>64</v>
      </c>
      <c r="B113" s="6"/>
      <c r="C113" s="24"/>
      <c r="D113" s="29">
        <f t="shared" ref="D113:M113" si="67">D28/D26</f>
        <v>0.61744782220827987</v>
      </c>
      <c r="E113" s="29">
        <f t="shared" si="67"/>
        <v>0.59348271598665381</v>
      </c>
      <c r="F113" s="29">
        <f t="shared" si="67"/>
        <v>0.62600022840610603</v>
      </c>
      <c r="G113" s="29">
        <f t="shared" si="67"/>
        <v>0.63008549890755294</v>
      </c>
      <c r="H113" s="29">
        <f t="shared" si="67"/>
        <v>0.62386915342371263</v>
      </c>
      <c r="I113" s="29">
        <f t="shared" si="67"/>
        <v>0.57999999999999996</v>
      </c>
      <c r="J113" s="29">
        <f t="shared" si="67"/>
        <v>0.53</v>
      </c>
      <c r="K113" s="29">
        <f t="shared" si="67"/>
        <v>0.5</v>
      </c>
      <c r="L113" s="29">
        <f t="shared" si="67"/>
        <v>0.64</v>
      </c>
      <c r="M113" s="29">
        <f t="shared" si="67"/>
        <v>0.65</v>
      </c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.6" outlineLevel="1">
      <c r="A114" s="6"/>
      <c r="B114" s="6"/>
      <c r="C114" s="24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.6" outlineLevel="1">
      <c r="A115" s="6" t="s">
        <v>36</v>
      </c>
      <c r="B115" s="6"/>
      <c r="C115" s="24"/>
      <c r="D115" s="6">
        <f t="shared" ref="D115:M115" si="68">D70</f>
        <v>12971</v>
      </c>
      <c r="E115" s="6">
        <f t="shared" si="68"/>
        <v>28239</v>
      </c>
      <c r="F115" s="6">
        <f t="shared" si="68"/>
        <v>37505</v>
      </c>
      <c r="G115" s="6">
        <f t="shared" si="68"/>
        <v>42355</v>
      </c>
      <c r="H115" s="6">
        <f t="shared" si="68"/>
        <v>43479</v>
      </c>
      <c r="I115" s="6">
        <f t="shared" si="68"/>
        <v>5400.8075627397266</v>
      </c>
      <c r="J115" s="6">
        <f t="shared" si="68"/>
        <v>-5.1875256438343058</v>
      </c>
      <c r="K115" s="6">
        <f t="shared" si="68"/>
        <v>-1710.8084176411012</v>
      </c>
      <c r="L115" s="6">
        <f t="shared" si="68"/>
        <v>32030.025182652756</v>
      </c>
      <c r="M115" s="6">
        <f t="shared" si="68"/>
        <v>33942.896095820623</v>
      </c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.6" outlineLevel="1">
      <c r="A116" s="6" t="s">
        <v>40</v>
      </c>
      <c r="B116" s="6"/>
      <c r="C116" s="24"/>
      <c r="D116" s="6">
        <f t="shared" ref="D116:M116" si="69">-D74</f>
        <v>-15000</v>
      </c>
      <c r="E116" s="6">
        <f t="shared" si="69"/>
        <v>-15000</v>
      </c>
      <c r="F116" s="6">
        <f t="shared" si="69"/>
        <v>-15000</v>
      </c>
      <c r="G116" s="6">
        <f t="shared" si="69"/>
        <v>-15000</v>
      </c>
      <c r="H116" s="6">
        <f t="shared" si="69"/>
        <v>-15000</v>
      </c>
      <c r="I116" s="6">
        <f t="shared" si="69"/>
        <v>-15000</v>
      </c>
      <c r="J116" s="6">
        <f t="shared" si="69"/>
        <v>-15000</v>
      </c>
      <c r="K116" s="6">
        <f t="shared" si="69"/>
        <v>-15000</v>
      </c>
      <c r="L116" s="6">
        <f t="shared" si="69"/>
        <v>-15000</v>
      </c>
      <c r="M116" s="6">
        <f t="shared" si="69"/>
        <v>-15000</v>
      </c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.6" outlineLevel="1">
      <c r="A117" s="6" t="s">
        <v>43</v>
      </c>
      <c r="B117" s="6"/>
      <c r="C117" s="24"/>
      <c r="D117" s="6">
        <f t="shared" ref="D117:M117" si="70">D79</f>
        <v>70000</v>
      </c>
      <c r="E117" s="6">
        <f t="shared" si="70"/>
        <v>0</v>
      </c>
      <c r="F117" s="6">
        <f t="shared" si="70"/>
        <v>-20000</v>
      </c>
      <c r="G117" s="6">
        <f t="shared" si="70"/>
        <v>0</v>
      </c>
      <c r="H117" s="6">
        <f t="shared" si="70"/>
        <v>0</v>
      </c>
      <c r="I117" s="6">
        <f t="shared" si="70"/>
        <v>0</v>
      </c>
      <c r="J117" s="6">
        <f t="shared" si="70"/>
        <v>0</v>
      </c>
      <c r="K117" s="6">
        <f t="shared" si="70"/>
        <v>-20000</v>
      </c>
      <c r="L117" s="6">
        <f t="shared" si="70"/>
        <v>0</v>
      </c>
      <c r="M117" s="6">
        <f t="shared" si="70"/>
        <v>0</v>
      </c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.6" outlineLevel="1">
      <c r="A118" s="6"/>
      <c r="B118" s="6"/>
      <c r="C118" s="24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6" outlineLevel="1">
      <c r="A119" s="6"/>
      <c r="B119" s="6"/>
      <c r="C119" s="24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.6" outlineLevel="1">
      <c r="A120" s="6"/>
      <c r="B120" s="6"/>
      <c r="C120" s="24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.6" outlineLevel="1">
      <c r="A121" s="6"/>
      <c r="B121" s="6"/>
      <c r="C121" s="24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.6" outlineLevel="1">
      <c r="A122" s="6"/>
      <c r="B122" s="6"/>
      <c r="C122" s="24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.6" outlineLevel="1">
      <c r="A123" s="6"/>
      <c r="B123" s="6"/>
      <c r="C123" s="24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.6" outlineLevel="1">
      <c r="A124" s="6"/>
      <c r="B124" s="6"/>
      <c r="C124" s="24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.6" outlineLevel="1">
      <c r="A125" s="6"/>
      <c r="B125" s="6"/>
      <c r="C125" s="24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.6" outlineLevel="1">
      <c r="A126" s="6"/>
      <c r="B126" s="6"/>
      <c r="C126" s="24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.6" outlineLevel="1">
      <c r="A127" s="6"/>
      <c r="B127" s="6"/>
      <c r="C127" s="24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.6" outlineLevel="1">
      <c r="A128" s="6"/>
      <c r="B128" s="6"/>
      <c r="C128" s="24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.6" outlineLevel="1">
      <c r="A129" s="6"/>
      <c r="B129" s="6"/>
      <c r="C129" s="24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.6" outlineLevel="1">
      <c r="A130" s="6"/>
      <c r="B130" s="6"/>
      <c r="C130" s="24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.6" outlineLevel="1">
      <c r="A131" s="6"/>
      <c r="B131" s="6"/>
      <c r="C131" s="24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.6" outlineLevel="1">
      <c r="A132" s="6"/>
      <c r="B132" s="6"/>
      <c r="C132" s="24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.6" outlineLevel="1">
      <c r="A133" s="6"/>
      <c r="B133" s="6"/>
      <c r="C133" s="24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.6" outlineLevel="1">
      <c r="A134" s="6"/>
      <c r="B134" s="6"/>
      <c r="C134" s="24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.6">
      <c r="A135" s="6"/>
      <c r="B135" s="6"/>
      <c r="C135" s="24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.6">
      <c r="A136" s="6"/>
      <c r="B136" s="6"/>
      <c r="C136" s="24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6">
      <c r="A137" s="6"/>
      <c r="B137" s="6"/>
      <c r="C137" s="24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.6">
      <c r="A138" s="6"/>
      <c r="B138" s="6"/>
      <c r="C138" s="24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.6">
      <c r="A139" s="6"/>
      <c r="B139" s="6"/>
      <c r="C139" s="24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.6">
      <c r="A140" s="6"/>
      <c r="B140" s="6"/>
      <c r="C140" s="24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.6">
      <c r="A141" s="6"/>
      <c r="B141" s="6"/>
      <c r="C141" s="24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.6">
      <c r="A142" s="6"/>
      <c r="B142" s="6"/>
      <c r="C142" s="24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.6">
      <c r="A143" s="6"/>
      <c r="B143" s="6"/>
      <c r="C143" s="24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.6">
      <c r="A144" s="6"/>
      <c r="B144" s="6"/>
      <c r="C144" s="24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.6">
      <c r="A145" s="6"/>
      <c r="B145" s="6"/>
      <c r="C145" s="24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.6">
      <c r="A146" s="6"/>
      <c r="B146" s="6"/>
      <c r="C146" s="24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.6">
      <c r="A147" s="6"/>
      <c r="B147" s="6"/>
      <c r="C147" s="24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.6">
      <c r="A148" s="6"/>
      <c r="B148" s="6"/>
      <c r="C148" s="24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.6">
      <c r="A149" s="6"/>
      <c r="B149" s="6"/>
      <c r="C149" s="24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.6">
      <c r="A150" s="6"/>
      <c r="B150" s="6"/>
      <c r="C150" s="24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.6">
      <c r="A151" s="6"/>
      <c r="B151" s="6"/>
      <c r="C151" s="24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.6">
      <c r="A152" s="6"/>
      <c r="B152" s="6"/>
      <c r="C152" s="24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.6">
      <c r="A153" s="6"/>
      <c r="B153" s="6"/>
      <c r="C153" s="24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.6">
      <c r="A154" s="6"/>
      <c r="B154" s="6"/>
      <c r="C154" s="24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.6">
      <c r="A155" s="6"/>
      <c r="B155" s="6"/>
      <c r="C155" s="24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.6">
      <c r="A156" s="6"/>
      <c r="B156" s="6"/>
      <c r="C156" s="24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.6">
      <c r="A157" s="6"/>
      <c r="B157" s="6"/>
      <c r="C157" s="24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.6">
      <c r="A158" s="6"/>
      <c r="B158" s="6"/>
      <c r="C158" s="24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.6">
      <c r="A159" s="6"/>
      <c r="B159" s="6"/>
      <c r="C159" s="24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.6">
      <c r="A160" s="6"/>
      <c r="B160" s="6"/>
      <c r="C160" s="24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.6">
      <c r="A161" s="6"/>
      <c r="B161" s="6"/>
      <c r="C161" s="24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.6">
      <c r="A162" s="6"/>
      <c r="B162" s="6"/>
      <c r="C162" s="24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.6">
      <c r="A163" s="6"/>
      <c r="B163" s="6"/>
      <c r="C163" s="24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.6">
      <c r="A164" s="6"/>
      <c r="B164" s="6"/>
      <c r="C164" s="24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.6">
      <c r="A165" s="6"/>
      <c r="B165" s="6"/>
      <c r="C165" s="24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.6">
      <c r="A166" s="6"/>
      <c r="B166" s="6"/>
      <c r="C166" s="24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.6">
      <c r="A167" s="6"/>
      <c r="B167" s="6"/>
      <c r="C167" s="24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6">
      <c r="A168" s="6"/>
      <c r="B168" s="6"/>
      <c r="C168" s="24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.6">
      <c r="A169" s="6"/>
      <c r="B169" s="6"/>
      <c r="C169" s="24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.6">
      <c r="A170" s="6"/>
      <c r="B170" s="6"/>
      <c r="C170" s="24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.6">
      <c r="A171" s="6"/>
      <c r="B171" s="6"/>
      <c r="C171" s="24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6">
      <c r="A172" s="6"/>
      <c r="B172" s="6"/>
      <c r="C172" s="24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.6">
      <c r="A173" s="6"/>
      <c r="B173" s="6"/>
      <c r="C173" s="24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.6">
      <c r="A174" s="6"/>
      <c r="B174" s="6"/>
      <c r="C174" s="24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.6">
      <c r="A175" s="6"/>
      <c r="B175" s="6"/>
      <c r="C175" s="24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.6">
      <c r="A176" s="6"/>
      <c r="B176" s="6"/>
      <c r="C176" s="24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6">
      <c r="A177" s="6"/>
      <c r="B177" s="6"/>
      <c r="C177" s="24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.6">
      <c r="A178" s="6"/>
      <c r="B178" s="6"/>
      <c r="C178" s="24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.6">
      <c r="A179" s="6"/>
      <c r="B179" s="6"/>
      <c r="C179" s="24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.6">
      <c r="A180" s="6"/>
      <c r="B180" s="6"/>
      <c r="C180" s="24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.6">
      <c r="A181" s="6"/>
      <c r="B181" s="6"/>
      <c r="C181" s="24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.6">
      <c r="A182" s="6"/>
      <c r="B182" s="6"/>
      <c r="C182" s="24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.6">
      <c r="A183" s="6"/>
      <c r="B183" s="6"/>
      <c r="C183" s="24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.6">
      <c r="A184" s="6"/>
      <c r="B184" s="6"/>
      <c r="C184" s="24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.6">
      <c r="A185" s="6"/>
      <c r="B185" s="6"/>
      <c r="C185" s="24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.6">
      <c r="A186" s="6"/>
      <c r="B186" s="6"/>
      <c r="C186" s="24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.6">
      <c r="A187" s="6"/>
      <c r="B187" s="6"/>
      <c r="C187" s="24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.6">
      <c r="A188" s="6"/>
      <c r="B188" s="6"/>
      <c r="C188" s="24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.6">
      <c r="A189" s="6"/>
      <c r="B189" s="6"/>
      <c r="C189" s="24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.6">
      <c r="A190" s="6"/>
      <c r="B190" s="6"/>
      <c r="C190" s="24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.6">
      <c r="A191" s="6"/>
      <c r="B191" s="6"/>
      <c r="C191" s="24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.6">
      <c r="A192" s="6"/>
      <c r="B192" s="6"/>
      <c r="C192" s="24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.6">
      <c r="A193" s="6"/>
      <c r="B193" s="6"/>
      <c r="C193" s="24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.6">
      <c r="A194" s="6"/>
      <c r="B194" s="6"/>
      <c r="C194" s="24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.6">
      <c r="A195" s="6"/>
      <c r="B195" s="6"/>
      <c r="C195" s="24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.6">
      <c r="A196" s="6"/>
      <c r="B196" s="6"/>
      <c r="C196" s="24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.6">
      <c r="A197" s="6"/>
      <c r="B197" s="6"/>
      <c r="C197" s="24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.6">
      <c r="A198" s="6"/>
      <c r="B198" s="6"/>
      <c r="C198" s="24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.6">
      <c r="A199" s="6"/>
      <c r="B199" s="6"/>
      <c r="C199" s="24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.6">
      <c r="A200" s="6"/>
      <c r="B200" s="6"/>
      <c r="C200" s="24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.6">
      <c r="A201" s="6"/>
      <c r="B201" s="6"/>
      <c r="C201" s="24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.6">
      <c r="A202" s="6"/>
      <c r="B202" s="6"/>
      <c r="C202" s="24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.6">
      <c r="A203" s="6"/>
      <c r="B203" s="6"/>
      <c r="C203" s="24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.6">
      <c r="A204" s="6"/>
      <c r="B204" s="6"/>
      <c r="C204" s="24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.6">
      <c r="A205" s="6"/>
      <c r="B205" s="6"/>
      <c r="C205" s="24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.6">
      <c r="A206" s="6"/>
      <c r="B206" s="6"/>
      <c r="C206" s="24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.6">
      <c r="A207" s="6"/>
      <c r="B207" s="6"/>
      <c r="C207" s="24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.6">
      <c r="A208" s="6"/>
      <c r="B208" s="6"/>
      <c r="C208" s="24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.6">
      <c r="A209" s="6"/>
      <c r="B209" s="6"/>
      <c r="C209" s="24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.6">
      <c r="A210" s="6"/>
      <c r="B210" s="6"/>
      <c r="C210" s="24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.6">
      <c r="A211" s="6"/>
      <c r="B211" s="6"/>
      <c r="C211" s="24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.6">
      <c r="A212" s="6"/>
      <c r="B212" s="6"/>
      <c r="C212" s="24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.6">
      <c r="A213" s="6"/>
      <c r="B213" s="6"/>
      <c r="C213" s="24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6">
      <c r="A214" s="6"/>
      <c r="B214" s="6"/>
      <c r="C214" s="24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6">
      <c r="A215" s="6"/>
      <c r="B215" s="6"/>
      <c r="C215" s="24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6">
      <c r="A216" s="6"/>
      <c r="B216" s="6"/>
      <c r="C216" s="24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6">
      <c r="A217" s="6"/>
      <c r="B217" s="6"/>
      <c r="C217" s="24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6">
      <c r="A218" s="6"/>
      <c r="B218" s="6"/>
      <c r="C218" s="24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.6">
      <c r="A219" s="6"/>
      <c r="B219" s="6"/>
      <c r="C219" s="24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.6">
      <c r="A220" s="6"/>
      <c r="B220" s="6"/>
      <c r="C220" s="24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6">
      <c r="A221" s="6"/>
      <c r="B221" s="6"/>
      <c r="C221" s="24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.6">
      <c r="A222" s="6"/>
      <c r="B222" s="6"/>
      <c r="C222" s="24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.6">
      <c r="A223" s="6"/>
      <c r="B223" s="6"/>
      <c r="C223" s="24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.6">
      <c r="A224" s="6"/>
      <c r="B224" s="6"/>
      <c r="C224" s="24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.6">
      <c r="A225" s="6"/>
      <c r="B225" s="6"/>
      <c r="C225" s="24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.6">
      <c r="A226" s="6"/>
      <c r="B226" s="6"/>
      <c r="C226" s="24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.6">
      <c r="A227" s="6"/>
      <c r="B227" s="6"/>
      <c r="C227" s="24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5.6">
      <c r="A228" s="6"/>
      <c r="B228" s="6"/>
      <c r="C228" s="24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5.6">
      <c r="A229" s="6"/>
      <c r="B229" s="6"/>
      <c r="C229" s="24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5.6">
      <c r="A230" s="6"/>
      <c r="B230" s="6"/>
      <c r="C230" s="24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5.6">
      <c r="A231" s="6"/>
      <c r="B231" s="6"/>
      <c r="C231" s="24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5.6">
      <c r="A232" s="6"/>
      <c r="B232" s="6"/>
      <c r="C232" s="24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5.6">
      <c r="A233" s="6"/>
      <c r="B233" s="6"/>
      <c r="C233" s="24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5.6">
      <c r="A234" s="6"/>
      <c r="B234" s="6"/>
      <c r="C234" s="24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5.6">
      <c r="A235" s="6"/>
      <c r="B235" s="6"/>
      <c r="C235" s="24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5.6">
      <c r="A236" s="6"/>
      <c r="B236" s="6"/>
      <c r="C236" s="24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5.6">
      <c r="A237" s="6"/>
      <c r="B237" s="6"/>
      <c r="C237" s="24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5.6">
      <c r="A238" s="6"/>
      <c r="B238" s="6"/>
      <c r="C238" s="24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5.6">
      <c r="A239" s="6"/>
      <c r="B239" s="6"/>
      <c r="C239" s="24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.6">
      <c r="A240" s="6"/>
      <c r="B240" s="6"/>
      <c r="C240" s="24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5.6">
      <c r="A241" s="6"/>
      <c r="B241" s="6"/>
      <c r="C241" s="24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5.6">
      <c r="A242" s="6"/>
      <c r="B242" s="6"/>
      <c r="C242" s="24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5.6">
      <c r="A243" s="6"/>
      <c r="B243" s="6"/>
      <c r="C243" s="24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5.6">
      <c r="A244" s="6"/>
      <c r="B244" s="6"/>
      <c r="C244" s="24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5.6">
      <c r="A245" s="6"/>
      <c r="B245" s="6"/>
      <c r="C245" s="24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5.6">
      <c r="A246" s="6"/>
      <c r="B246" s="6"/>
      <c r="C246" s="24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5.6">
      <c r="A247" s="6"/>
      <c r="B247" s="6"/>
      <c r="C247" s="24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5.6">
      <c r="A248" s="6"/>
      <c r="B248" s="6"/>
      <c r="C248" s="24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.6">
      <c r="A249" s="6"/>
      <c r="B249" s="6"/>
      <c r="C249" s="24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5.6">
      <c r="A250" s="6"/>
      <c r="B250" s="6"/>
      <c r="C250" s="24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5.6">
      <c r="A251" s="6"/>
      <c r="B251" s="6"/>
      <c r="C251" s="24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5.6">
      <c r="A252" s="6"/>
      <c r="B252" s="6"/>
      <c r="C252" s="24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5.6">
      <c r="A253" s="6"/>
      <c r="B253" s="6"/>
      <c r="C253" s="24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5.6">
      <c r="A254" s="6"/>
      <c r="B254" s="6"/>
      <c r="C254" s="24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5.6">
      <c r="A255" s="6"/>
      <c r="B255" s="6"/>
      <c r="C255" s="24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5.6">
      <c r="A256" s="6"/>
      <c r="B256" s="6"/>
      <c r="C256" s="24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5.6">
      <c r="A257" s="6"/>
      <c r="B257" s="6"/>
      <c r="C257" s="24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5.6">
      <c r="A258" s="6"/>
      <c r="B258" s="6"/>
      <c r="C258" s="24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5.6">
      <c r="A259" s="6"/>
      <c r="B259" s="6"/>
      <c r="C259" s="24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5.6">
      <c r="A260" s="6"/>
      <c r="B260" s="6"/>
      <c r="C260" s="24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5.6">
      <c r="A261" s="6"/>
      <c r="B261" s="6"/>
      <c r="C261" s="24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5.6">
      <c r="A262" s="6"/>
      <c r="B262" s="6"/>
      <c r="C262" s="24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5.6">
      <c r="A263" s="6"/>
      <c r="B263" s="6"/>
      <c r="C263" s="24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5.6">
      <c r="A264" s="6"/>
      <c r="B264" s="6"/>
      <c r="C264" s="24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5.6">
      <c r="A265" s="6"/>
      <c r="B265" s="6"/>
      <c r="C265" s="24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5.6">
      <c r="A266" s="6"/>
      <c r="B266" s="6"/>
      <c r="C266" s="24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5.6">
      <c r="A267" s="6"/>
      <c r="B267" s="6"/>
      <c r="C267" s="24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5.6">
      <c r="A268" s="6"/>
      <c r="B268" s="6"/>
      <c r="C268" s="24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5.6">
      <c r="A269" s="6"/>
      <c r="B269" s="6"/>
      <c r="C269" s="24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5.6">
      <c r="A270" s="6"/>
      <c r="B270" s="6"/>
      <c r="C270" s="24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5.6">
      <c r="A271" s="6"/>
      <c r="B271" s="6"/>
      <c r="C271" s="24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5.6">
      <c r="A272" s="6"/>
      <c r="B272" s="6"/>
      <c r="C272" s="24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5.6">
      <c r="A273" s="6"/>
      <c r="B273" s="6"/>
      <c r="C273" s="24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5.6">
      <c r="A274" s="6"/>
      <c r="B274" s="6"/>
      <c r="C274" s="24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5.6">
      <c r="A275" s="6"/>
      <c r="B275" s="6"/>
      <c r="C275" s="24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5.6">
      <c r="A276" s="6"/>
      <c r="B276" s="6"/>
      <c r="C276" s="24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5.6">
      <c r="A277" s="6"/>
      <c r="B277" s="6"/>
      <c r="C277" s="24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5.6">
      <c r="A278" s="6"/>
      <c r="B278" s="6"/>
      <c r="C278" s="24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5.6">
      <c r="A279" s="6"/>
      <c r="B279" s="6"/>
      <c r="C279" s="24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5.6">
      <c r="A280" s="6"/>
      <c r="B280" s="6"/>
      <c r="C280" s="24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5.6">
      <c r="A281" s="6"/>
      <c r="B281" s="6"/>
      <c r="C281" s="24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5.6">
      <c r="A282" s="6"/>
      <c r="B282" s="6"/>
      <c r="C282" s="24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5.6">
      <c r="A283" s="6"/>
      <c r="B283" s="6"/>
      <c r="C283" s="24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5.6">
      <c r="A284" s="6"/>
      <c r="B284" s="6"/>
      <c r="C284" s="24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5.6">
      <c r="A285" s="6"/>
      <c r="B285" s="6"/>
      <c r="C285" s="24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5.6">
      <c r="A286" s="6"/>
      <c r="B286" s="6"/>
      <c r="C286" s="24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5.6">
      <c r="A287" s="6"/>
      <c r="B287" s="6"/>
      <c r="C287" s="24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5.6">
      <c r="A288" s="6"/>
      <c r="B288" s="6"/>
      <c r="C288" s="24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5.6">
      <c r="A289" s="6"/>
      <c r="B289" s="6"/>
      <c r="C289" s="24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5.6">
      <c r="A290" s="6"/>
      <c r="B290" s="6"/>
      <c r="C290" s="24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5.6">
      <c r="A291" s="6"/>
      <c r="B291" s="6"/>
      <c r="C291" s="24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5.6">
      <c r="A292" s="6"/>
      <c r="B292" s="6"/>
      <c r="C292" s="24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5.6">
      <c r="A293" s="6"/>
      <c r="B293" s="6"/>
      <c r="C293" s="24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5.6">
      <c r="A294" s="6"/>
      <c r="B294" s="6"/>
      <c r="C294" s="24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5.6">
      <c r="A295" s="6"/>
      <c r="B295" s="6"/>
      <c r="C295" s="24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5.6">
      <c r="A296" s="6"/>
      <c r="B296" s="6"/>
      <c r="C296" s="24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5.6">
      <c r="A297" s="6"/>
      <c r="B297" s="6"/>
      <c r="C297" s="24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5.6">
      <c r="A298" s="6"/>
      <c r="B298" s="6"/>
      <c r="C298" s="24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5.6">
      <c r="A299" s="6"/>
      <c r="B299" s="6"/>
      <c r="C299" s="24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5.6">
      <c r="A300" s="6"/>
      <c r="B300" s="6"/>
      <c r="C300" s="24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5.6">
      <c r="A301" s="6"/>
      <c r="B301" s="6"/>
      <c r="C301" s="24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5.6">
      <c r="A302" s="6"/>
      <c r="B302" s="6"/>
      <c r="C302" s="24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5.6">
      <c r="A303" s="6"/>
      <c r="B303" s="6"/>
      <c r="C303" s="24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5.6">
      <c r="A304" s="6"/>
      <c r="B304" s="6"/>
      <c r="C304" s="24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5.6">
      <c r="A305" s="6"/>
      <c r="B305" s="6"/>
      <c r="C305" s="24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5.6">
      <c r="A306" s="6"/>
      <c r="B306" s="6"/>
      <c r="C306" s="24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5.6">
      <c r="A307" s="6"/>
      <c r="B307" s="6"/>
      <c r="C307" s="24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5.6">
      <c r="A308" s="6"/>
      <c r="B308" s="6"/>
      <c r="C308" s="24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5.6">
      <c r="A309" s="6"/>
      <c r="B309" s="6"/>
      <c r="C309" s="24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5.6">
      <c r="A310" s="6"/>
      <c r="B310" s="6"/>
      <c r="C310" s="24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5.6">
      <c r="A311" s="6"/>
      <c r="B311" s="6"/>
      <c r="C311" s="24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5.6">
      <c r="A312" s="6"/>
      <c r="B312" s="6"/>
      <c r="C312" s="24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5.6">
      <c r="A313" s="6"/>
      <c r="B313" s="6"/>
      <c r="C313" s="24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5.6">
      <c r="A314" s="6"/>
      <c r="B314" s="6"/>
      <c r="C314" s="24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5.6">
      <c r="A315" s="6"/>
      <c r="B315" s="6"/>
      <c r="C315" s="24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5.6">
      <c r="A316" s="6"/>
      <c r="B316" s="6"/>
      <c r="C316" s="24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5.6">
      <c r="A317" s="6"/>
      <c r="B317" s="6"/>
      <c r="C317" s="24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5.6">
      <c r="A318" s="6"/>
      <c r="B318" s="6"/>
      <c r="C318" s="24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5.6">
      <c r="A319" s="6"/>
      <c r="B319" s="6"/>
      <c r="C319" s="24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5.6">
      <c r="A320" s="6"/>
      <c r="B320" s="6"/>
      <c r="C320" s="24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5.6">
      <c r="A321" s="6"/>
      <c r="B321" s="6"/>
      <c r="C321" s="24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5.6">
      <c r="A322" s="6"/>
      <c r="B322" s="6"/>
      <c r="C322" s="24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5.6">
      <c r="A323" s="6"/>
      <c r="B323" s="6"/>
      <c r="C323" s="24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5.6">
      <c r="A324" s="6"/>
      <c r="B324" s="6"/>
      <c r="C324" s="24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5.6">
      <c r="A325" s="6"/>
      <c r="B325" s="6"/>
      <c r="C325" s="24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5.6">
      <c r="A326" s="6"/>
      <c r="B326" s="6"/>
      <c r="C326" s="24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5.6">
      <c r="A327" s="6"/>
      <c r="B327" s="6"/>
      <c r="C327" s="24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5.6">
      <c r="A328" s="6"/>
      <c r="B328" s="6"/>
      <c r="C328" s="24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5.6">
      <c r="A329" s="6"/>
      <c r="B329" s="6"/>
      <c r="C329" s="24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5.6">
      <c r="A330" s="6"/>
      <c r="B330" s="6"/>
      <c r="C330" s="24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5.6">
      <c r="A331" s="6"/>
      <c r="B331" s="6"/>
      <c r="C331" s="24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5.6">
      <c r="A332" s="6"/>
      <c r="B332" s="6"/>
      <c r="C332" s="24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5.6">
      <c r="A333" s="6"/>
      <c r="B333" s="6"/>
      <c r="C333" s="24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5.6">
      <c r="A334" s="6"/>
      <c r="B334" s="6"/>
      <c r="C334" s="24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5.6">
      <c r="A335" s="6"/>
      <c r="B335" s="6"/>
      <c r="C335" s="24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5.6">
      <c r="A336" s="6"/>
      <c r="B336" s="6"/>
      <c r="C336" s="24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5.6">
      <c r="A337" s="6"/>
      <c r="B337" s="6"/>
      <c r="C337" s="24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5.6">
      <c r="A338" s="6"/>
      <c r="B338" s="6"/>
      <c r="C338" s="24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5.6">
      <c r="A339" s="6"/>
      <c r="B339" s="6"/>
      <c r="C339" s="24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5.6">
      <c r="A340" s="6"/>
      <c r="B340" s="6"/>
      <c r="C340" s="24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5.6">
      <c r="A341" s="6"/>
      <c r="B341" s="6"/>
      <c r="C341" s="24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5.6">
      <c r="A342" s="6"/>
      <c r="B342" s="6"/>
      <c r="C342" s="24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5.6">
      <c r="A343" s="6"/>
      <c r="B343" s="6"/>
      <c r="C343" s="24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5.6">
      <c r="A344" s="6"/>
      <c r="B344" s="6"/>
      <c r="C344" s="24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5.6">
      <c r="A345" s="6"/>
      <c r="B345" s="6"/>
      <c r="C345" s="24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5.6">
      <c r="A346" s="6"/>
      <c r="B346" s="6"/>
      <c r="C346" s="24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5.6">
      <c r="A347" s="6"/>
      <c r="B347" s="6"/>
      <c r="C347" s="24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5.6">
      <c r="A348" s="6"/>
      <c r="B348" s="6"/>
      <c r="C348" s="24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5.6">
      <c r="A349" s="6"/>
      <c r="B349" s="6"/>
      <c r="C349" s="24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5.6">
      <c r="A350" s="6"/>
      <c r="B350" s="6"/>
      <c r="C350" s="24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5.6">
      <c r="A351" s="6"/>
      <c r="B351" s="6"/>
      <c r="C351" s="24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5.6">
      <c r="A352" s="6"/>
      <c r="B352" s="6"/>
      <c r="C352" s="24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5.6">
      <c r="A353" s="6"/>
      <c r="B353" s="6"/>
      <c r="C353" s="24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5.6">
      <c r="A354" s="6"/>
      <c r="B354" s="6"/>
      <c r="C354" s="24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5.6">
      <c r="A355" s="6"/>
      <c r="B355" s="6"/>
      <c r="C355" s="24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5.6">
      <c r="A356" s="6"/>
      <c r="B356" s="6"/>
      <c r="C356" s="24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5.6">
      <c r="A357" s="6"/>
      <c r="B357" s="6"/>
      <c r="C357" s="24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5.6">
      <c r="A358" s="6"/>
      <c r="B358" s="6"/>
      <c r="C358" s="24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5.6">
      <c r="A359" s="6"/>
      <c r="B359" s="6"/>
      <c r="C359" s="24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5.6">
      <c r="A360" s="6"/>
      <c r="B360" s="6"/>
      <c r="C360" s="24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5.6">
      <c r="A361" s="6"/>
      <c r="B361" s="6"/>
      <c r="C361" s="24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5.6">
      <c r="A362" s="6"/>
      <c r="B362" s="6"/>
      <c r="C362" s="24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5.6">
      <c r="A363" s="6"/>
      <c r="B363" s="6"/>
      <c r="C363" s="24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5.6">
      <c r="A364" s="6"/>
      <c r="B364" s="6"/>
      <c r="C364" s="24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5.6">
      <c r="A365" s="6"/>
      <c r="B365" s="6"/>
      <c r="C365" s="24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5.6">
      <c r="A366" s="6"/>
      <c r="B366" s="6"/>
      <c r="C366" s="24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5.6">
      <c r="A367" s="6"/>
      <c r="B367" s="6"/>
      <c r="C367" s="24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5.6">
      <c r="A368" s="6"/>
      <c r="B368" s="6"/>
      <c r="C368" s="24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5.6">
      <c r="A369" s="6"/>
      <c r="B369" s="6"/>
      <c r="C369" s="24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5.6">
      <c r="A370" s="6"/>
      <c r="B370" s="6"/>
      <c r="C370" s="24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5.6">
      <c r="A371" s="6"/>
      <c r="B371" s="6"/>
      <c r="C371" s="24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5.6">
      <c r="A372" s="6"/>
      <c r="B372" s="6"/>
      <c r="C372" s="24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5.6">
      <c r="A373" s="6"/>
      <c r="B373" s="6"/>
      <c r="C373" s="24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5.6">
      <c r="A374" s="6"/>
      <c r="B374" s="6"/>
      <c r="C374" s="24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5.6">
      <c r="A375" s="6"/>
      <c r="B375" s="6"/>
      <c r="C375" s="24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5.6">
      <c r="A376" s="6"/>
      <c r="B376" s="6"/>
      <c r="C376" s="24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5.6">
      <c r="A377" s="6"/>
      <c r="B377" s="6"/>
      <c r="C377" s="24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5.6">
      <c r="A378" s="6"/>
      <c r="B378" s="6"/>
      <c r="C378" s="24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5.6">
      <c r="A379" s="6"/>
      <c r="B379" s="6"/>
      <c r="C379" s="24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5.6">
      <c r="A380" s="6"/>
      <c r="B380" s="6"/>
      <c r="C380" s="24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5.6">
      <c r="A381" s="6"/>
      <c r="B381" s="6"/>
      <c r="C381" s="24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5.6">
      <c r="A382" s="6"/>
      <c r="B382" s="6"/>
      <c r="C382" s="24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5.6">
      <c r="A383" s="6"/>
      <c r="B383" s="6"/>
      <c r="C383" s="24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5.6">
      <c r="A384" s="6"/>
      <c r="B384" s="6"/>
      <c r="C384" s="24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5.6">
      <c r="A385" s="6"/>
      <c r="B385" s="6"/>
      <c r="C385" s="24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5.6">
      <c r="A386" s="6"/>
      <c r="B386" s="6"/>
      <c r="C386" s="24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5.6">
      <c r="A387" s="6"/>
      <c r="B387" s="6"/>
      <c r="C387" s="24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5.6">
      <c r="A388" s="6"/>
      <c r="B388" s="6"/>
      <c r="C388" s="24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5.6">
      <c r="A389" s="6"/>
      <c r="B389" s="6"/>
      <c r="C389" s="24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5.6">
      <c r="A390" s="6"/>
      <c r="B390" s="6"/>
      <c r="C390" s="24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5.6">
      <c r="A391" s="6"/>
      <c r="B391" s="6"/>
      <c r="C391" s="24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5.6">
      <c r="A392" s="6"/>
      <c r="B392" s="6"/>
      <c r="C392" s="24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5.6">
      <c r="A393" s="6"/>
      <c r="B393" s="6"/>
      <c r="C393" s="24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5.6">
      <c r="A394" s="6"/>
      <c r="B394" s="6"/>
      <c r="C394" s="24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5.6">
      <c r="A395" s="6"/>
      <c r="B395" s="6"/>
      <c r="C395" s="24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5.6">
      <c r="A396" s="6"/>
      <c r="B396" s="6"/>
      <c r="C396" s="24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5.6">
      <c r="A397" s="6"/>
      <c r="B397" s="6"/>
      <c r="C397" s="24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5.6">
      <c r="A398" s="6"/>
      <c r="B398" s="6"/>
      <c r="C398" s="24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5.6">
      <c r="A399" s="6"/>
      <c r="B399" s="6"/>
      <c r="C399" s="24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5.6">
      <c r="A400" s="6"/>
      <c r="B400" s="6"/>
      <c r="C400" s="24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5.6">
      <c r="A401" s="6"/>
      <c r="B401" s="6"/>
      <c r="C401" s="24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5.6">
      <c r="A402" s="6"/>
      <c r="B402" s="6"/>
      <c r="C402" s="24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5.6">
      <c r="A403" s="6"/>
      <c r="B403" s="6"/>
      <c r="C403" s="24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5.6">
      <c r="A404" s="6"/>
      <c r="B404" s="6"/>
      <c r="C404" s="24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5.6">
      <c r="A405" s="6"/>
      <c r="B405" s="6"/>
      <c r="C405" s="24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5.6">
      <c r="A406" s="6"/>
      <c r="B406" s="6"/>
      <c r="C406" s="24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5.6">
      <c r="A407" s="6"/>
      <c r="B407" s="6"/>
      <c r="C407" s="24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5.6">
      <c r="A408" s="6"/>
      <c r="B408" s="6"/>
      <c r="C408" s="24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5.6">
      <c r="A409" s="6"/>
      <c r="B409" s="6"/>
      <c r="C409" s="24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5.6">
      <c r="A410" s="6"/>
      <c r="B410" s="6"/>
      <c r="C410" s="24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5.6">
      <c r="A411" s="6"/>
      <c r="B411" s="6"/>
      <c r="C411" s="24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5.6">
      <c r="A412" s="6"/>
      <c r="B412" s="6"/>
      <c r="C412" s="24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5.6">
      <c r="A413" s="6"/>
      <c r="B413" s="6"/>
      <c r="C413" s="24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5.6">
      <c r="A414" s="6"/>
      <c r="B414" s="6"/>
      <c r="C414" s="24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5.6">
      <c r="A415" s="6"/>
      <c r="B415" s="6"/>
      <c r="C415" s="24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5.6">
      <c r="A416" s="6"/>
      <c r="B416" s="6"/>
      <c r="C416" s="24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5.6">
      <c r="A417" s="6"/>
      <c r="B417" s="6"/>
      <c r="C417" s="24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5.6">
      <c r="A418" s="6"/>
      <c r="B418" s="6"/>
      <c r="C418" s="24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5.6">
      <c r="A419" s="6"/>
      <c r="B419" s="6"/>
      <c r="C419" s="24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5.6">
      <c r="A420" s="6"/>
      <c r="B420" s="6"/>
      <c r="C420" s="24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5.6">
      <c r="A421" s="6"/>
      <c r="B421" s="6"/>
      <c r="C421" s="24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5.6">
      <c r="A422" s="6"/>
      <c r="B422" s="6"/>
      <c r="C422" s="24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5.6">
      <c r="A423" s="6"/>
      <c r="B423" s="6"/>
      <c r="C423" s="24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5.6">
      <c r="A424" s="6"/>
      <c r="B424" s="6"/>
      <c r="C424" s="24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5.6">
      <c r="A425" s="6"/>
      <c r="B425" s="6"/>
      <c r="C425" s="24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5.6">
      <c r="A426" s="6"/>
      <c r="B426" s="6"/>
      <c r="C426" s="24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5.6">
      <c r="A427" s="6"/>
      <c r="B427" s="6"/>
      <c r="C427" s="24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5.6">
      <c r="A428" s="6"/>
      <c r="B428" s="6"/>
      <c r="C428" s="24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5.6">
      <c r="A429" s="6"/>
      <c r="B429" s="6"/>
      <c r="C429" s="24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5.6">
      <c r="A430" s="6"/>
      <c r="B430" s="6"/>
      <c r="C430" s="24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5.6">
      <c r="A431" s="6"/>
      <c r="B431" s="6"/>
      <c r="C431" s="24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5.6">
      <c r="A432" s="6"/>
      <c r="B432" s="6"/>
      <c r="C432" s="24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5.6">
      <c r="A433" s="6"/>
      <c r="B433" s="6"/>
      <c r="C433" s="24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5.6">
      <c r="A434" s="6"/>
      <c r="B434" s="6"/>
      <c r="C434" s="24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5.6">
      <c r="A435" s="6"/>
      <c r="B435" s="6"/>
      <c r="C435" s="24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5.6">
      <c r="A436" s="6"/>
      <c r="B436" s="6"/>
      <c r="C436" s="24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5.6">
      <c r="A437" s="6"/>
      <c r="B437" s="6"/>
      <c r="C437" s="24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5.6">
      <c r="A438" s="6"/>
      <c r="B438" s="6"/>
      <c r="C438" s="24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5.6">
      <c r="A439" s="6"/>
      <c r="B439" s="6"/>
      <c r="C439" s="24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5.6">
      <c r="A440" s="6"/>
      <c r="B440" s="6"/>
      <c r="C440" s="24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5.6">
      <c r="A441" s="6"/>
      <c r="B441" s="6"/>
      <c r="C441" s="24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5.6">
      <c r="A442" s="6"/>
      <c r="B442" s="6"/>
      <c r="C442" s="24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5.6">
      <c r="A443" s="6"/>
      <c r="B443" s="6"/>
      <c r="C443" s="24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5.6">
      <c r="A444" s="6"/>
      <c r="B444" s="6"/>
      <c r="C444" s="24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5.6">
      <c r="A445" s="6"/>
      <c r="B445" s="6"/>
      <c r="C445" s="24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5.6">
      <c r="A446" s="6"/>
      <c r="B446" s="6"/>
      <c r="C446" s="24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5.6">
      <c r="A447" s="6"/>
      <c r="B447" s="6"/>
      <c r="C447" s="24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5.6">
      <c r="A448" s="6"/>
      <c r="B448" s="6"/>
      <c r="C448" s="24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5.6">
      <c r="A449" s="6"/>
      <c r="B449" s="6"/>
      <c r="C449" s="24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5.6">
      <c r="A450" s="6"/>
      <c r="B450" s="6"/>
      <c r="C450" s="24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5.6">
      <c r="A451" s="6"/>
      <c r="B451" s="6"/>
      <c r="C451" s="24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5.6">
      <c r="A452" s="6"/>
      <c r="B452" s="6"/>
      <c r="C452" s="24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5.6">
      <c r="A453" s="6"/>
      <c r="B453" s="6"/>
      <c r="C453" s="24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5.6">
      <c r="A454" s="6"/>
      <c r="B454" s="6"/>
      <c r="C454" s="24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5.6">
      <c r="A455" s="6"/>
      <c r="B455" s="6"/>
      <c r="C455" s="24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5.6">
      <c r="A456" s="6"/>
      <c r="B456" s="6"/>
      <c r="C456" s="24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5.6">
      <c r="A457" s="6"/>
      <c r="B457" s="6"/>
      <c r="C457" s="24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5.6">
      <c r="A458" s="6"/>
      <c r="B458" s="6"/>
      <c r="C458" s="24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5.6">
      <c r="A459" s="6"/>
      <c r="B459" s="6"/>
      <c r="C459" s="24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5.6">
      <c r="A460" s="6"/>
      <c r="B460" s="6"/>
      <c r="C460" s="24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5.6">
      <c r="A461" s="6"/>
      <c r="B461" s="6"/>
      <c r="C461" s="24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5.6">
      <c r="A462" s="6"/>
      <c r="B462" s="6"/>
      <c r="C462" s="24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5.6">
      <c r="A463" s="6"/>
      <c r="B463" s="6"/>
      <c r="C463" s="24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5.6">
      <c r="A464" s="6"/>
      <c r="B464" s="6"/>
      <c r="C464" s="24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5.6">
      <c r="A465" s="6"/>
      <c r="B465" s="6"/>
      <c r="C465" s="24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5.6">
      <c r="A466" s="6"/>
      <c r="B466" s="6"/>
      <c r="C466" s="24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5.6">
      <c r="A467" s="6"/>
      <c r="B467" s="6"/>
      <c r="C467" s="24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5.6">
      <c r="A468" s="6"/>
      <c r="B468" s="6"/>
      <c r="C468" s="24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5.6">
      <c r="A469" s="6"/>
      <c r="B469" s="6"/>
      <c r="C469" s="24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5.6">
      <c r="A470" s="6"/>
      <c r="B470" s="6"/>
      <c r="C470" s="24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5.6">
      <c r="A471" s="6"/>
      <c r="B471" s="6"/>
      <c r="C471" s="24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5.6">
      <c r="A472" s="6"/>
      <c r="B472" s="6"/>
      <c r="C472" s="24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5.6">
      <c r="A473" s="6"/>
      <c r="B473" s="6"/>
      <c r="C473" s="24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5.6">
      <c r="A474" s="6"/>
      <c r="B474" s="6"/>
      <c r="C474" s="24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5.6">
      <c r="A475" s="6"/>
      <c r="B475" s="6"/>
      <c r="C475" s="24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5.6">
      <c r="A476" s="6"/>
      <c r="B476" s="6"/>
      <c r="C476" s="24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5.6">
      <c r="A477" s="6"/>
      <c r="B477" s="6"/>
      <c r="C477" s="24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5.6">
      <c r="A478" s="6"/>
      <c r="B478" s="6"/>
      <c r="C478" s="24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5.6">
      <c r="A479" s="6"/>
      <c r="B479" s="6"/>
      <c r="C479" s="24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5.6">
      <c r="A480" s="6"/>
      <c r="B480" s="6"/>
      <c r="C480" s="24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5.6">
      <c r="A481" s="6"/>
      <c r="B481" s="6"/>
      <c r="C481" s="24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5.6">
      <c r="A482" s="6"/>
      <c r="B482" s="6"/>
      <c r="C482" s="24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5.6">
      <c r="A483" s="6"/>
      <c r="B483" s="6"/>
      <c r="C483" s="24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5.6">
      <c r="A484" s="6"/>
      <c r="B484" s="6"/>
      <c r="C484" s="24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5.6">
      <c r="A485" s="6"/>
      <c r="B485" s="6"/>
      <c r="C485" s="24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5.6">
      <c r="A486" s="6"/>
      <c r="B486" s="6"/>
      <c r="C486" s="24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5.6">
      <c r="A487" s="6"/>
      <c r="B487" s="6"/>
      <c r="C487" s="24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5.6">
      <c r="A488" s="6"/>
      <c r="B488" s="6"/>
      <c r="C488" s="24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5.6">
      <c r="A489" s="6"/>
      <c r="B489" s="6"/>
      <c r="C489" s="24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5.6">
      <c r="A490" s="6"/>
      <c r="B490" s="6"/>
      <c r="C490" s="24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5.6">
      <c r="A491" s="6"/>
      <c r="B491" s="6"/>
      <c r="C491" s="24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5.6">
      <c r="A492" s="6"/>
      <c r="B492" s="6"/>
      <c r="C492" s="24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5.6">
      <c r="A493" s="6"/>
      <c r="B493" s="6"/>
      <c r="C493" s="24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5.6">
      <c r="A494" s="6"/>
      <c r="B494" s="6"/>
      <c r="C494" s="24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5.6">
      <c r="A495" s="6"/>
      <c r="B495" s="6"/>
      <c r="C495" s="24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5.6">
      <c r="A496" s="6"/>
      <c r="B496" s="6"/>
      <c r="C496" s="24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5.6">
      <c r="A497" s="6"/>
      <c r="B497" s="6"/>
      <c r="C497" s="24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5.6">
      <c r="A498" s="6"/>
      <c r="B498" s="6"/>
      <c r="C498" s="24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5.6">
      <c r="A499" s="6"/>
      <c r="B499" s="6"/>
      <c r="C499" s="24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5.6">
      <c r="A500" s="6"/>
      <c r="B500" s="6"/>
      <c r="C500" s="24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5.6">
      <c r="A501" s="6"/>
      <c r="B501" s="6"/>
      <c r="C501" s="24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5.6">
      <c r="A502" s="6"/>
      <c r="B502" s="6"/>
      <c r="C502" s="24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5.6">
      <c r="A503" s="6"/>
      <c r="B503" s="6"/>
      <c r="C503" s="24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5.6">
      <c r="A504" s="6"/>
      <c r="B504" s="6"/>
      <c r="C504" s="24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5.6">
      <c r="A505" s="6"/>
      <c r="B505" s="6"/>
      <c r="C505" s="24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5.6">
      <c r="A506" s="6"/>
      <c r="B506" s="6"/>
      <c r="C506" s="24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5.6">
      <c r="A507" s="6"/>
      <c r="B507" s="6"/>
      <c r="C507" s="24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5.6">
      <c r="A508" s="6"/>
      <c r="B508" s="6"/>
      <c r="C508" s="24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5.6">
      <c r="A509" s="6"/>
      <c r="B509" s="6"/>
      <c r="C509" s="24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5.6">
      <c r="A510" s="6"/>
      <c r="B510" s="6"/>
      <c r="C510" s="24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5.6">
      <c r="A511" s="6"/>
      <c r="B511" s="6"/>
      <c r="C511" s="24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5.6">
      <c r="A512" s="6"/>
      <c r="B512" s="6"/>
      <c r="C512" s="24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5.6">
      <c r="A513" s="6"/>
      <c r="B513" s="6"/>
      <c r="C513" s="24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5.6">
      <c r="A514" s="6"/>
      <c r="B514" s="6"/>
      <c r="C514" s="24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5.6">
      <c r="A515" s="6"/>
      <c r="B515" s="6"/>
      <c r="C515" s="24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5.6">
      <c r="A516" s="6"/>
      <c r="B516" s="6"/>
      <c r="C516" s="24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5.6">
      <c r="A517" s="6"/>
      <c r="B517" s="6"/>
      <c r="C517" s="24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5.6">
      <c r="A518" s="6"/>
      <c r="B518" s="6"/>
      <c r="C518" s="24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5.6">
      <c r="A519" s="6"/>
      <c r="B519" s="6"/>
      <c r="C519" s="24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5.6">
      <c r="A520" s="6"/>
      <c r="B520" s="6"/>
      <c r="C520" s="24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5.6">
      <c r="A521" s="6"/>
      <c r="B521" s="6"/>
      <c r="C521" s="24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5.6">
      <c r="A522" s="6"/>
      <c r="B522" s="6"/>
      <c r="C522" s="24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5.6">
      <c r="A523" s="6"/>
      <c r="B523" s="6"/>
      <c r="C523" s="24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5.6">
      <c r="A524" s="6"/>
      <c r="B524" s="6"/>
      <c r="C524" s="24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5.6">
      <c r="A525" s="6"/>
      <c r="B525" s="6"/>
      <c r="C525" s="24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5.6">
      <c r="A526" s="6"/>
      <c r="B526" s="6"/>
      <c r="C526" s="24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5.6">
      <c r="A527" s="6"/>
      <c r="B527" s="6"/>
      <c r="C527" s="24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5.6">
      <c r="A528" s="6"/>
      <c r="B528" s="6"/>
      <c r="C528" s="24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5.6">
      <c r="A529" s="6"/>
      <c r="B529" s="6"/>
      <c r="C529" s="24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5.6">
      <c r="A530" s="6"/>
      <c r="B530" s="6"/>
      <c r="C530" s="24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5.6">
      <c r="A531" s="6"/>
      <c r="B531" s="6"/>
      <c r="C531" s="24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5.6">
      <c r="A532" s="6"/>
      <c r="B532" s="6"/>
      <c r="C532" s="24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5.6">
      <c r="A533" s="6"/>
      <c r="B533" s="6"/>
      <c r="C533" s="24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5.6">
      <c r="A534" s="6"/>
      <c r="B534" s="6"/>
      <c r="C534" s="24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5.6">
      <c r="A535" s="6"/>
      <c r="B535" s="6"/>
      <c r="C535" s="24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5.6">
      <c r="A536" s="6"/>
      <c r="B536" s="6"/>
      <c r="C536" s="24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5.6">
      <c r="A537" s="6"/>
      <c r="B537" s="6"/>
      <c r="C537" s="24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5.6">
      <c r="A538" s="6"/>
      <c r="B538" s="6"/>
      <c r="C538" s="24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5.6">
      <c r="A539" s="6"/>
      <c r="B539" s="6"/>
      <c r="C539" s="24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5.6">
      <c r="A540" s="6"/>
      <c r="B540" s="6"/>
      <c r="C540" s="24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5.6">
      <c r="A541" s="6"/>
      <c r="B541" s="6"/>
      <c r="C541" s="24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5.6">
      <c r="A542" s="6"/>
      <c r="B542" s="6"/>
      <c r="C542" s="24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5.6">
      <c r="A543" s="6"/>
      <c r="B543" s="6"/>
      <c r="C543" s="24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5.6">
      <c r="A544" s="6"/>
      <c r="B544" s="6"/>
      <c r="C544" s="24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5.6">
      <c r="A545" s="6"/>
      <c r="B545" s="6"/>
      <c r="C545" s="24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5.6">
      <c r="A546" s="6"/>
      <c r="B546" s="6"/>
      <c r="C546" s="24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5.6">
      <c r="A547" s="6"/>
      <c r="B547" s="6"/>
      <c r="C547" s="24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5.6">
      <c r="A548" s="6"/>
      <c r="B548" s="6"/>
      <c r="C548" s="24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5.6">
      <c r="A549" s="6"/>
      <c r="B549" s="6"/>
      <c r="C549" s="24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5.6">
      <c r="A550" s="6"/>
      <c r="B550" s="6"/>
      <c r="C550" s="24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5.6">
      <c r="A551" s="6"/>
      <c r="B551" s="6"/>
      <c r="C551" s="24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5.6">
      <c r="A552" s="6"/>
      <c r="B552" s="6"/>
      <c r="C552" s="24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5.6">
      <c r="A553" s="6"/>
      <c r="B553" s="6"/>
      <c r="C553" s="24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5.6">
      <c r="A554" s="6"/>
      <c r="B554" s="6"/>
      <c r="C554" s="24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5.6">
      <c r="A555" s="6"/>
      <c r="B555" s="6"/>
      <c r="C555" s="24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5.6">
      <c r="A556" s="6"/>
      <c r="B556" s="6"/>
      <c r="C556" s="24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5.6">
      <c r="A557" s="6"/>
      <c r="B557" s="6"/>
      <c r="C557" s="24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5.6">
      <c r="A558" s="6"/>
      <c r="B558" s="6"/>
      <c r="C558" s="24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5.6">
      <c r="A559" s="6"/>
      <c r="B559" s="6"/>
      <c r="C559" s="24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5.6">
      <c r="A560" s="6"/>
      <c r="B560" s="6"/>
      <c r="C560" s="24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5.6">
      <c r="A561" s="6"/>
      <c r="B561" s="6"/>
      <c r="C561" s="24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5.6">
      <c r="A562" s="6"/>
      <c r="B562" s="6"/>
      <c r="C562" s="24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5.6">
      <c r="A563" s="6"/>
      <c r="B563" s="6"/>
      <c r="C563" s="24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5.6">
      <c r="A564" s="6"/>
      <c r="B564" s="6"/>
      <c r="C564" s="24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5.6">
      <c r="A565" s="6"/>
      <c r="B565" s="6"/>
      <c r="C565" s="24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5.6">
      <c r="A566" s="6"/>
      <c r="B566" s="6"/>
      <c r="C566" s="24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5.6">
      <c r="A567" s="6"/>
      <c r="B567" s="6"/>
      <c r="C567" s="24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5.6">
      <c r="A568" s="6"/>
      <c r="B568" s="6"/>
      <c r="C568" s="24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5.6">
      <c r="A569" s="6"/>
      <c r="B569" s="6"/>
      <c r="C569" s="24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5.6">
      <c r="A570" s="6"/>
      <c r="B570" s="6"/>
      <c r="C570" s="24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5.6">
      <c r="A571" s="6"/>
      <c r="B571" s="6"/>
      <c r="C571" s="24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5.6">
      <c r="A572" s="6"/>
      <c r="B572" s="6"/>
      <c r="C572" s="24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5.6">
      <c r="A573" s="6"/>
      <c r="B573" s="6"/>
      <c r="C573" s="24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5.6">
      <c r="A574" s="6"/>
      <c r="B574" s="6"/>
      <c r="C574" s="24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5.6">
      <c r="A575" s="6"/>
      <c r="B575" s="6"/>
      <c r="C575" s="24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5.6">
      <c r="A576" s="6"/>
      <c r="B576" s="6"/>
      <c r="C576" s="24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5.6">
      <c r="A577" s="6"/>
      <c r="B577" s="6"/>
      <c r="C577" s="24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5.6">
      <c r="A578" s="6"/>
      <c r="B578" s="6"/>
      <c r="C578" s="24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5.6">
      <c r="A579" s="6"/>
      <c r="B579" s="6"/>
      <c r="C579" s="24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5.6">
      <c r="A580" s="6"/>
      <c r="B580" s="6"/>
      <c r="C580" s="24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5.6">
      <c r="A581" s="6"/>
      <c r="B581" s="6"/>
      <c r="C581" s="24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5.6">
      <c r="A582" s="6"/>
      <c r="B582" s="6"/>
      <c r="C582" s="24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5.6">
      <c r="A583" s="6"/>
      <c r="B583" s="6"/>
      <c r="C583" s="24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5.6">
      <c r="A584" s="6"/>
      <c r="B584" s="6"/>
      <c r="C584" s="24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5.6">
      <c r="A585" s="6"/>
      <c r="B585" s="6"/>
      <c r="C585" s="24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5.6">
      <c r="A586" s="6"/>
      <c r="B586" s="6"/>
      <c r="C586" s="24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5.6">
      <c r="A587" s="6"/>
      <c r="B587" s="6"/>
      <c r="C587" s="24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5.6">
      <c r="A588" s="6"/>
      <c r="B588" s="6"/>
      <c r="C588" s="24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5.6">
      <c r="A589" s="6"/>
      <c r="B589" s="6"/>
      <c r="C589" s="24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5.6">
      <c r="A590" s="6"/>
      <c r="B590" s="6"/>
      <c r="C590" s="24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5.6">
      <c r="A591" s="6"/>
      <c r="B591" s="6"/>
      <c r="C591" s="24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5.6">
      <c r="A592" s="6"/>
      <c r="B592" s="6"/>
      <c r="C592" s="24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5.6">
      <c r="A593" s="6"/>
      <c r="B593" s="6"/>
      <c r="C593" s="24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5.6">
      <c r="A594" s="6"/>
      <c r="B594" s="6"/>
      <c r="C594" s="24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5.6">
      <c r="A595" s="6"/>
      <c r="B595" s="6"/>
      <c r="C595" s="24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5.6">
      <c r="A596" s="6"/>
      <c r="B596" s="6"/>
      <c r="C596" s="24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5.6">
      <c r="A597" s="6"/>
      <c r="B597" s="6"/>
      <c r="C597" s="24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5.6">
      <c r="A598" s="6"/>
      <c r="B598" s="6"/>
      <c r="C598" s="24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5.6">
      <c r="A599" s="6"/>
      <c r="B599" s="6"/>
      <c r="C599" s="24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5.6">
      <c r="A600" s="6"/>
      <c r="B600" s="6"/>
      <c r="C600" s="24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5.6">
      <c r="A601" s="6"/>
      <c r="B601" s="6"/>
      <c r="C601" s="24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5.6">
      <c r="A602" s="6"/>
      <c r="B602" s="6"/>
      <c r="C602" s="24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5.6">
      <c r="A603" s="6"/>
      <c r="B603" s="6"/>
      <c r="C603" s="24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5.6">
      <c r="A604" s="6"/>
      <c r="B604" s="6"/>
      <c r="C604" s="24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5.6">
      <c r="A605" s="6"/>
      <c r="B605" s="6"/>
      <c r="C605" s="24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5.6">
      <c r="A606" s="6"/>
      <c r="B606" s="6"/>
      <c r="C606" s="24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5.6">
      <c r="A607" s="6"/>
      <c r="B607" s="6"/>
      <c r="C607" s="24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5.6">
      <c r="A608" s="6"/>
      <c r="B608" s="6"/>
      <c r="C608" s="24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5.6">
      <c r="A609" s="6"/>
      <c r="B609" s="6"/>
      <c r="C609" s="24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5.6">
      <c r="A610" s="6"/>
      <c r="B610" s="6"/>
      <c r="C610" s="24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5.6">
      <c r="A611" s="6"/>
      <c r="B611" s="6"/>
      <c r="C611" s="24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5.6">
      <c r="A612" s="6"/>
      <c r="B612" s="6"/>
      <c r="C612" s="24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5.6">
      <c r="A613" s="6"/>
      <c r="B613" s="6"/>
      <c r="C613" s="24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5.6">
      <c r="A614" s="6"/>
      <c r="B614" s="6"/>
      <c r="C614" s="24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5.6">
      <c r="A615" s="6"/>
      <c r="B615" s="6"/>
      <c r="C615" s="24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5.6">
      <c r="A616" s="6"/>
      <c r="B616" s="6"/>
      <c r="C616" s="24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5.6">
      <c r="A617" s="6"/>
      <c r="B617" s="6"/>
      <c r="C617" s="24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5.6">
      <c r="A618" s="6"/>
      <c r="B618" s="6"/>
      <c r="C618" s="24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5.6">
      <c r="A619" s="6"/>
      <c r="B619" s="6"/>
      <c r="C619" s="24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5.6">
      <c r="A620" s="6"/>
      <c r="B620" s="6"/>
      <c r="C620" s="24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5.6">
      <c r="A621" s="6"/>
      <c r="B621" s="6"/>
      <c r="C621" s="24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5.6">
      <c r="A622" s="6"/>
      <c r="B622" s="6"/>
      <c r="C622" s="24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5.6">
      <c r="A623" s="6"/>
      <c r="B623" s="6"/>
      <c r="C623" s="24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5.6">
      <c r="A624" s="6"/>
      <c r="B624" s="6"/>
      <c r="C624" s="24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5.6">
      <c r="A625" s="6"/>
      <c r="B625" s="6"/>
      <c r="C625" s="24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5.6">
      <c r="A626" s="6"/>
      <c r="B626" s="6"/>
      <c r="C626" s="24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5.6">
      <c r="A627" s="6"/>
      <c r="B627" s="6"/>
      <c r="C627" s="24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5.6">
      <c r="A628" s="6"/>
      <c r="B628" s="6"/>
      <c r="C628" s="24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5.6">
      <c r="A629" s="6"/>
      <c r="B629" s="6"/>
      <c r="C629" s="24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5.6">
      <c r="A630" s="6"/>
      <c r="B630" s="6"/>
      <c r="C630" s="24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5.6">
      <c r="A631" s="6"/>
      <c r="B631" s="6"/>
      <c r="C631" s="24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5.6">
      <c r="A632" s="6"/>
      <c r="B632" s="6"/>
      <c r="C632" s="24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5.6">
      <c r="A633" s="6"/>
      <c r="B633" s="6"/>
      <c r="C633" s="24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5.6">
      <c r="A634" s="6"/>
      <c r="B634" s="6"/>
      <c r="C634" s="24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5.6">
      <c r="A635" s="6"/>
      <c r="B635" s="6"/>
      <c r="C635" s="24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5.6">
      <c r="A636" s="6"/>
      <c r="B636" s="6"/>
      <c r="C636" s="24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5.6">
      <c r="A637" s="6"/>
      <c r="B637" s="6"/>
      <c r="C637" s="24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5.6">
      <c r="A638" s="6"/>
      <c r="B638" s="6"/>
      <c r="C638" s="24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5.6">
      <c r="A639" s="6"/>
      <c r="B639" s="6"/>
      <c r="C639" s="24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5.6">
      <c r="A640" s="6"/>
      <c r="B640" s="6"/>
      <c r="C640" s="24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5.6">
      <c r="A641" s="6"/>
      <c r="B641" s="6"/>
      <c r="C641" s="24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5.6">
      <c r="A642" s="6"/>
      <c r="B642" s="6"/>
      <c r="C642" s="24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5.6">
      <c r="A643" s="6"/>
      <c r="B643" s="6"/>
      <c r="C643" s="24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5.6">
      <c r="A644" s="6"/>
      <c r="B644" s="6"/>
      <c r="C644" s="24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5.6">
      <c r="A645" s="6"/>
      <c r="B645" s="6"/>
      <c r="C645" s="24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5.6">
      <c r="A646" s="6"/>
      <c r="B646" s="6"/>
      <c r="C646" s="24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5.6">
      <c r="A647" s="6"/>
      <c r="B647" s="6"/>
      <c r="C647" s="24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5.6">
      <c r="A648" s="6"/>
      <c r="B648" s="6"/>
      <c r="C648" s="24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5.6">
      <c r="A649" s="6"/>
      <c r="B649" s="6"/>
      <c r="C649" s="24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5.6">
      <c r="A650" s="6"/>
      <c r="B650" s="6"/>
      <c r="C650" s="24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5.6">
      <c r="A651" s="6"/>
      <c r="B651" s="6"/>
      <c r="C651" s="24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5.6">
      <c r="A652" s="6"/>
      <c r="B652" s="6"/>
      <c r="C652" s="24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5.6">
      <c r="A653" s="6"/>
      <c r="B653" s="6"/>
      <c r="C653" s="24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5.6">
      <c r="A654" s="6"/>
      <c r="B654" s="6"/>
      <c r="C654" s="24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5.6">
      <c r="A655" s="6"/>
      <c r="B655" s="6"/>
      <c r="C655" s="24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5.6">
      <c r="A656" s="6"/>
      <c r="B656" s="6"/>
      <c r="C656" s="24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5.6">
      <c r="A657" s="6"/>
      <c r="B657" s="6"/>
      <c r="C657" s="24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5.6">
      <c r="A658" s="6"/>
      <c r="B658" s="6"/>
      <c r="C658" s="24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5.6">
      <c r="A659" s="6"/>
      <c r="B659" s="6"/>
      <c r="C659" s="24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5.6">
      <c r="A660" s="6"/>
      <c r="B660" s="6"/>
      <c r="C660" s="24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5.6">
      <c r="A661" s="6"/>
      <c r="B661" s="6"/>
      <c r="C661" s="24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5.6">
      <c r="A662" s="6"/>
      <c r="B662" s="6"/>
      <c r="C662" s="24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5.6">
      <c r="A663" s="6"/>
      <c r="B663" s="6"/>
      <c r="C663" s="24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5.6">
      <c r="A664" s="6"/>
      <c r="B664" s="6"/>
      <c r="C664" s="24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5.6">
      <c r="A665" s="6"/>
      <c r="B665" s="6"/>
      <c r="C665" s="24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5.6">
      <c r="A666" s="6"/>
      <c r="B666" s="6"/>
      <c r="C666" s="24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5.6">
      <c r="A667" s="6"/>
      <c r="B667" s="6"/>
      <c r="C667" s="24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5.6">
      <c r="A668" s="6"/>
      <c r="B668" s="6"/>
      <c r="C668" s="24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5.6">
      <c r="A669" s="6"/>
      <c r="B669" s="6"/>
      <c r="C669" s="24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5.6">
      <c r="A670" s="6"/>
      <c r="B670" s="6"/>
      <c r="C670" s="24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5.6">
      <c r="A671" s="6"/>
      <c r="B671" s="6"/>
      <c r="C671" s="24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5.6">
      <c r="A672" s="6"/>
      <c r="B672" s="6"/>
      <c r="C672" s="24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5.6">
      <c r="A673" s="6"/>
      <c r="B673" s="6"/>
      <c r="C673" s="24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5.6">
      <c r="A674" s="6"/>
      <c r="B674" s="6"/>
      <c r="C674" s="24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5.6">
      <c r="A675" s="6"/>
      <c r="B675" s="6"/>
      <c r="C675" s="24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5.6">
      <c r="A676" s="6"/>
      <c r="B676" s="6"/>
      <c r="C676" s="24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5.6">
      <c r="A677" s="6"/>
      <c r="B677" s="6"/>
      <c r="C677" s="24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5.6">
      <c r="A678" s="6"/>
      <c r="B678" s="6"/>
      <c r="C678" s="24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5.6">
      <c r="A679" s="6"/>
      <c r="B679" s="6"/>
      <c r="C679" s="24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5.6">
      <c r="A680" s="6"/>
      <c r="B680" s="6"/>
      <c r="C680" s="24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5.6">
      <c r="A681" s="6"/>
      <c r="B681" s="6"/>
      <c r="C681" s="24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5.6">
      <c r="A682" s="6"/>
      <c r="B682" s="6"/>
      <c r="C682" s="24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5.6">
      <c r="A683" s="6"/>
      <c r="B683" s="6"/>
      <c r="C683" s="24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5.6">
      <c r="A684" s="6"/>
      <c r="B684" s="6"/>
      <c r="C684" s="24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5.6">
      <c r="A685" s="6"/>
      <c r="B685" s="6"/>
      <c r="C685" s="24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5.6">
      <c r="A686" s="6"/>
      <c r="B686" s="6"/>
      <c r="C686" s="24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5.6">
      <c r="A687" s="6"/>
      <c r="B687" s="6"/>
      <c r="C687" s="24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5.6">
      <c r="A688" s="6"/>
      <c r="B688" s="6"/>
      <c r="C688" s="24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5.6">
      <c r="A689" s="6"/>
      <c r="B689" s="6"/>
      <c r="C689" s="24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5.6">
      <c r="A690" s="6"/>
      <c r="B690" s="6"/>
      <c r="C690" s="24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5.6">
      <c r="A691" s="6"/>
      <c r="B691" s="6"/>
      <c r="C691" s="24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5.6">
      <c r="A692" s="6"/>
      <c r="B692" s="6"/>
      <c r="C692" s="24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5.6">
      <c r="A693" s="6"/>
      <c r="B693" s="6"/>
      <c r="C693" s="24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5.6">
      <c r="A694" s="6"/>
      <c r="B694" s="6"/>
      <c r="C694" s="24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5.6">
      <c r="A695" s="6"/>
      <c r="B695" s="6"/>
      <c r="C695" s="24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5.6">
      <c r="A696" s="6"/>
      <c r="B696" s="6"/>
      <c r="C696" s="24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5.6">
      <c r="A697" s="6"/>
      <c r="B697" s="6"/>
      <c r="C697" s="24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5.6">
      <c r="A698" s="6"/>
      <c r="B698" s="6"/>
      <c r="C698" s="24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5.6">
      <c r="A699" s="6"/>
      <c r="B699" s="6"/>
      <c r="C699" s="24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5.6">
      <c r="A700" s="6"/>
      <c r="B700" s="6"/>
      <c r="C700" s="24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5.6">
      <c r="A701" s="6"/>
      <c r="B701" s="6"/>
      <c r="C701" s="24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5.6">
      <c r="A702" s="6"/>
      <c r="B702" s="6"/>
      <c r="C702" s="24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5.6">
      <c r="A703" s="6"/>
      <c r="B703" s="6"/>
      <c r="C703" s="24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5.6">
      <c r="A704" s="6"/>
      <c r="B704" s="6"/>
      <c r="C704" s="24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5.6">
      <c r="A705" s="6"/>
      <c r="B705" s="6"/>
      <c r="C705" s="24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5.6">
      <c r="A706" s="6"/>
      <c r="B706" s="6"/>
      <c r="C706" s="24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5.6">
      <c r="A707" s="6"/>
      <c r="B707" s="6"/>
      <c r="C707" s="24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5.6">
      <c r="A708" s="6"/>
      <c r="B708" s="6"/>
      <c r="C708" s="24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5.6">
      <c r="A709" s="6"/>
      <c r="B709" s="6"/>
      <c r="C709" s="24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5.6">
      <c r="A710" s="6"/>
      <c r="B710" s="6"/>
      <c r="C710" s="24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5.6">
      <c r="A711" s="6"/>
      <c r="B711" s="6"/>
      <c r="C711" s="24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5.6">
      <c r="A712" s="6"/>
      <c r="B712" s="6"/>
      <c r="C712" s="24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5.6">
      <c r="A713" s="6"/>
      <c r="B713" s="6"/>
      <c r="C713" s="24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5.6">
      <c r="A714" s="6"/>
      <c r="B714" s="6"/>
      <c r="C714" s="24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5.6">
      <c r="A715" s="6"/>
      <c r="B715" s="6"/>
      <c r="C715" s="24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5.6">
      <c r="A716" s="6"/>
      <c r="B716" s="6"/>
      <c r="C716" s="24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5.6">
      <c r="A717" s="6"/>
      <c r="B717" s="6"/>
      <c r="C717" s="24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5.6">
      <c r="A718" s="6"/>
      <c r="B718" s="6"/>
      <c r="C718" s="24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5.6">
      <c r="A719" s="6"/>
      <c r="B719" s="6"/>
      <c r="C719" s="24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5.6">
      <c r="A720" s="6"/>
      <c r="B720" s="6"/>
      <c r="C720" s="24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5.6">
      <c r="A721" s="6"/>
      <c r="B721" s="6"/>
      <c r="C721" s="24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5.6">
      <c r="A722" s="6"/>
      <c r="B722" s="6"/>
      <c r="C722" s="24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5.6">
      <c r="A723" s="6"/>
      <c r="B723" s="6"/>
      <c r="C723" s="24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5.6">
      <c r="A724" s="6"/>
      <c r="B724" s="6"/>
      <c r="C724" s="24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5.6">
      <c r="A725" s="6"/>
      <c r="B725" s="6"/>
      <c r="C725" s="24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5.6">
      <c r="A726" s="6"/>
      <c r="B726" s="6"/>
      <c r="C726" s="24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5.6">
      <c r="A727" s="6"/>
      <c r="B727" s="6"/>
      <c r="C727" s="24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5.6">
      <c r="A728" s="6"/>
      <c r="B728" s="6"/>
      <c r="C728" s="24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5.6">
      <c r="A729" s="6"/>
      <c r="B729" s="6"/>
      <c r="C729" s="24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5.6">
      <c r="A730" s="6"/>
      <c r="B730" s="6"/>
      <c r="C730" s="24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5.6">
      <c r="A731" s="6"/>
      <c r="B731" s="6"/>
      <c r="C731" s="24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5.6">
      <c r="A732" s="6"/>
      <c r="B732" s="6"/>
      <c r="C732" s="24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5.6">
      <c r="A733" s="6"/>
      <c r="B733" s="6"/>
      <c r="C733" s="24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5.6">
      <c r="A734" s="6"/>
      <c r="B734" s="6"/>
      <c r="C734" s="24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5.6">
      <c r="A735" s="6"/>
      <c r="B735" s="6"/>
      <c r="C735" s="24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5.6">
      <c r="A736" s="6"/>
      <c r="B736" s="6"/>
      <c r="C736" s="24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5.6">
      <c r="A737" s="6"/>
      <c r="B737" s="6"/>
      <c r="C737" s="24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5.6">
      <c r="A738" s="6"/>
      <c r="B738" s="6"/>
      <c r="C738" s="24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5.6">
      <c r="A739" s="6"/>
      <c r="B739" s="6"/>
      <c r="C739" s="24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5.6">
      <c r="A740" s="6"/>
      <c r="B740" s="6"/>
      <c r="C740" s="24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5.6">
      <c r="A741" s="6"/>
      <c r="B741" s="6"/>
      <c r="C741" s="24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5.6">
      <c r="A742" s="6"/>
      <c r="B742" s="6"/>
      <c r="C742" s="24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5.6">
      <c r="A743" s="6"/>
      <c r="B743" s="6"/>
      <c r="C743" s="24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5.6">
      <c r="A744" s="6"/>
      <c r="B744" s="6"/>
      <c r="C744" s="24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5.6">
      <c r="A745" s="6"/>
      <c r="B745" s="6"/>
      <c r="C745" s="24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5.6">
      <c r="A746" s="6"/>
      <c r="B746" s="6"/>
      <c r="C746" s="24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5.6">
      <c r="A747" s="6"/>
      <c r="B747" s="6"/>
      <c r="C747" s="24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5.6">
      <c r="A748" s="6"/>
      <c r="B748" s="6"/>
      <c r="C748" s="24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5.6">
      <c r="A749" s="6"/>
      <c r="B749" s="6"/>
      <c r="C749" s="24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5.6">
      <c r="A750" s="6"/>
      <c r="B750" s="6"/>
      <c r="C750" s="24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5.6">
      <c r="A751" s="6"/>
      <c r="B751" s="6"/>
      <c r="C751" s="24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5.6">
      <c r="A752" s="6"/>
      <c r="B752" s="6"/>
      <c r="C752" s="24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5.6">
      <c r="A753" s="6"/>
      <c r="B753" s="6"/>
      <c r="C753" s="24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5.6">
      <c r="A754" s="6"/>
      <c r="B754" s="6"/>
      <c r="C754" s="24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5.6">
      <c r="A755" s="6"/>
      <c r="B755" s="6"/>
      <c r="C755" s="24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5.6">
      <c r="A756" s="6"/>
      <c r="B756" s="6"/>
      <c r="C756" s="24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5.6">
      <c r="A757" s="6"/>
      <c r="B757" s="6"/>
      <c r="C757" s="24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5.6">
      <c r="A758" s="6"/>
      <c r="B758" s="6"/>
      <c r="C758" s="24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5.6">
      <c r="A759" s="6"/>
      <c r="B759" s="6"/>
      <c r="C759" s="24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5.6">
      <c r="A760" s="6"/>
      <c r="B760" s="6"/>
      <c r="C760" s="24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5.6">
      <c r="A761" s="6"/>
      <c r="B761" s="6"/>
      <c r="C761" s="24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5.6">
      <c r="A762" s="6"/>
      <c r="B762" s="6"/>
      <c r="C762" s="24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5.6">
      <c r="A763" s="6"/>
      <c r="B763" s="6"/>
      <c r="C763" s="24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5.6">
      <c r="A764" s="6"/>
      <c r="B764" s="6"/>
      <c r="C764" s="24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5.6">
      <c r="A765" s="6"/>
      <c r="B765" s="6"/>
      <c r="C765" s="24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5.6">
      <c r="A766" s="6"/>
      <c r="B766" s="6"/>
      <c r="C766" s="24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5.6">
      <c r="A767" s="6"/>
      <c r="B767" s="6"/>
      <c r="C767" s="24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5.6">
      <c r="A768" s="6"/>
      <c r="B768" s="6"/>
      <c r="C768" s="24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5.6">
      <c r="A769" s="6"/>
      <c r="B769" s="6"/>
      <c r="C769" s="24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5.6">
      <c r="A770" s="6"/>
      <c r="B770" s="6"/>
      <c r="C770" s="24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5.6">
      <c r="A771" s="6"/>
      <c r="B771" s="6"/>
      <c r="C771" s="24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5.6">
      <c r="A772" s="6"/>
      <c r="B772" s="6"/>
      <c r="C772" s="24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5.6">
      <c r="A773" s="6"/>
      <c r="B773" s="6"/>
      <c r="C773" s="24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5.6">
      <c r="A774" s="6"/>
      <c r="B774" s="6"/>
      <c r="C774" s="24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5.6">
      <c r="A775" s="6"/>
      <c r="B775" s="6"/>
      <c r="C775" s="24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5.6">
      <c r="A776" s="6"/>
      <c r="B776" s="6"/>
      <c r="C776" s="24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5.6">
      <c r="A777" s="6"/>
      <c r="B777" s="6"/>
      <c r="C777" s="24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5.6">
      <c r="A778" s="6"/>
      <c r="B778" s="6"/>
      <c r="C778" s="24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5.6">
      <c r="A779" s="6"/>
      <c r="B779" s="6"/>
      <c r="C779" s="24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5.6">
      <c r="A780" s="6"/>
      <c r="B780" s="6"/>
      <c r="C780" s="24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5.6">
      <c r="A781" s="6"/>
      <c r="B781" s="6"/>
      <c r="C781" s="24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5.6">
      <c r="A782" s="6"/>
      <c r="B782" s="6"/>
      <c r="C782" s="24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5.6">
      <c r="A783" s="6"/>
      <c r="B783" s="6"/>
      <c r="C783" s="24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5.6">
      <c r="A784" s="6"/>
      <c r="B784" s="6"/>
      <c r="C784" s="24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5.6">
      <c r="A785" s="6"/>
      <c r="B785" s="6"/>
      <c r="C785" s="24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5.6">
      <c r="A786" s="6"/>
      <c r="B786" s="6"/>
      <c r="C786" s="24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5.6">
      <c r="A787" s="6"/>
      <c r="B787" s="6"/>
      <c r="C787" s="24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5.6">
      <c r="A788" s="6"/>
      <c r="B788" s="6"/>
      <c r="C788" s="24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5.6">
      <c r="A789" s="6"/>
      <c r="B789" s="6"/>
      <c r="C789" s="24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5.6">
      <c r="A790" s="6"/>
      <c r="B790" s="6"/>
      <c r="C790" s="24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5.6">
      <c r="A791" s="6"/>
      <c r="B791" s="6"/>
      <c r="C791" s="24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5.6">
      <c r="A792" s="6"/>
      <c r="B792" s="6"/>
      <c r="C792" s="24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5.6">
      <c r="A793" s="6"/>
      <c r="B793" s="6"/>
      <c r="C793" s="24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5.6">
      <c r="A794" s="6"/>
      <c r="B794" s="6"/>
      <c r="C794" s="24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5.6">
      <c r="A795" s="6"/>
      <c r="B795" s="6"/>
      <c r="C795" s="24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5.6">
      <c r="A796" s="6"/>
      <c r="B796" s="6"/>
      <c r="C796" s="24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5.6">
      <c r="A797" s="6"/>
      <c r="B797" s="6"/>
      <c r="C797" s="24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5.6">
      <c r="A798" s="6"/>
      <c r="B798" s="6"/>
      <c r="C798" s="24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5.6">
      <c r="A799" s="6"/>
      <c r="B799" s="6"/>
      <c r="C799" s="24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5.6">
      <c r="A800" s="6"/>
      <c r="B800" s="6"/>
      <c r="C800" s="24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5.6">
      <c r="A801" s="6"/>
      <c r="B801" s="6"/>
      <c r="C801" s="24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5.6">
      <c r="A802" s="6"/>
      <c r="B802" s="6"/>
      <c r="C802" s="24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5.6">
      <c r="A803" s="6"/>
      <c r="B803" s="6"/>
      <c r="C803" s="24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5.6">
      <c r="A804" s="6"/>
      <c r="B804" s="6"/>
      <c r="C804" s="24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5.6">
      <c r="A805" s="6"/>
      <c r="B805" s="6"/>
      <c r="C805" s="24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5.6">
      <c r="A806" s="6"/>
      <c r="B806" s="6"/>
      <c r="C806" s="24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5.6">
      <c r="A807" s="6"/>
      <c r="B807" s="6"/>
      <c r="C807" s="24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5.6">
      <c r="A808" s="6"/>
      <c r="B808" s="6"/>
      <c r="C808" s="24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5.6">
      <c r="A809" s="6"/>
      <c r="B809" s="6"/>
      <c r="C809" s="24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5.6">
      <c r="A810" s="6"/>
      <c r="B810" s="6"/>
      <c r="C810" s="24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5.6">
      <c r="A811" s="6"/>
      <c r="B811" s="6"/>
      <c r="C811" s="24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5.6">
      <c r="A812" s="6"/>
      <c r="B812" s="6"/>
      <c r="C812" s="24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5.6">
      <c r="A813" s="6"/>
      <c r="B813" s="6"/>
      <c r="C813" s="24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5.6">
      <c r="A814" s="6"/>
      <c r="B814" s="6"/>
      <c r="C814" s="24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5.6">
      <c r="A815" s="6"/>
      <c r="B815" s="6"/>
      <c r="C815" s="24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5.6">
      <c r="A816" s="6"/>
      <c r="B816" s="6"/>
      <c r="C816" s="24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5.6">
      <c r="A817" s="6"/>
      <c r="B817" s="6"/>
      <c r="C817" s="24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5.6">
      <c r="A818" s="6"/>
      <c r="B818" s="6"/>
      <c r="C818" s="24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5.6">
      <c r="A819" s="6"/>
      <c r="B819" s="6"/>
      <c r="C819" s="24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5.6">
      <c r="A820" s="6"/>
      <c r="B820" s="6"/>
      <c r="C820" s="24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5.6">
      <c r="A821" s="6"/>
      <c r="B821" s="6"/>
      <c r="C821" s="24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5.6">
      <c r="A822" s="6"/>
      <c r="B822" s="6"/>
      <c r="C822" s="24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5.6">
      <c r="A823" s="6"/>
      <c r="B823" s="6"/>
      <c r="C823" s="24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5.6">
      <c r="A824" s="6"/>
      <c r="B824" s="6"/>
      <c r="C824" s="24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5.6">
      <c r="A825" s="6"/>
      <c r="B825" s="6"/>
      <c r="C825" s="24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5.6">
      <c r="A826" s="6"/>
      <c r="B826" s="6"/>
      <c r="C826" s="24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5.6">
      <c r="A827" s="6"/>
      <c r="B827" s="6"/>
      <c r="C827" s="24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5.6">
      <c r="A828" s="6"/>
      <c r="B828" s="6"/>
      <c r="C828" s="24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5.6">
      <c r="A829" s="6"/>
      <c r="B829" s="6"/>
      <c r="C829" s="24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5.6">
      <c r="A830" s="6"/>
      <c r="B830" s="6"/>
      <c r="C830" s="24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5.6">
      <c r="A831" s="6"/>
      <c r="B831" s="6"/>
      <c r="C831" s="24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5.6">
      <c r="A832" s="6"/>
      <c r="B832" s="6"/>
      <c r="C832" s="24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5.6">
      <c r="A833" s="6"/>
      <c r="B833" s="6"/>
      <c r="C833" s="24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5.6">
      <c r="A834" s="6"/>
      <c r="B834" s="6"/>
      <c r="C834" s="24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5.6">
      <c r="A835" s="6"/>
      <c r="B835" s="6"/>
      <c r="C835" s="24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5.6">
      <c r="A836" s="6"/>
      <c r="B836" s="6"/>
      <c r="C836" s="24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5.6">
      <c r="A837" s="6"/>
      <c r="B837" s="6"/>
      <c r="C837" s="24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5.6">
      <c r="A838" s="6"/>
      <c r="B838" s="6"/>
      <c r="C838" s="24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5.6">
      <c r="A839" s="6"/>
      <c r="B839" s="6"/>
      <c r="C839" s="24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5.6">
      <c r="A840" s="6"/>
      <c r="B840" s="6"/>
      <c r="C840" s="24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5.6">
      <c r="A841" s="6"/>
      <c r="B841" s="6"/>
      <c r="C841" s="24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5.6">
      <c r="A842" s="6"/>
      <c r="B842" s="6"/>
      <c r="C842" s="24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5.6">
      <c r="A843" s="6"/>
      <c r="B843" s="6"/>
      <c r="C843" s="24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5.6">
      <c r="A844" s="6"/>
      <c r="B844" s="6"/>
      <c r="C844" s="24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5.6">
      <c r="A845" s="6"/>
      <c r="B845" s="6"/>
      <c r="C845" s="24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5.6">
      <c r="A846" s="6"/>
      <c r="B846" s="6"/>
      <c r="C846" s="24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5.6">
      <c r="A847" s="6"/>
      <c r="B847" s="6"/>
      <c r="C847" s="24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5.6">
      <c r="A848" s="6"/>
      <c r="B848" s="6"/>
      <c r="C848" s="24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5.6">
      <c r="A849" s="6"/>
      <c r="B849" s="6"/>
      <c r="C849" s="24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5.6">
      <c r="A850" s="6"/>
      <c r="B850" s="6"/>
      <c r="C850" s="24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5.6">
      <c r="A851" s="6"/>
      <c r="B851" s="6"/>
      <c r="C851" s="24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5.6">
      <c r="A852" s="6"/>
      <c r="B852" s="6"/>
      <c r="C852" s="24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5.6">
      <c r="A853" s="6"/>
      <c r="B853" s="6"/>
      <c r="C853" s="24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5.6">
      <c r="A854" s="6"/>
      <c r="B854" s="6"/>
      <c r="C854" s="24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5.6">
      <c r="A855" s="6"/>
      <c r="B855" s="6"/>
      <c r="C855" s="24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5.6">
      <c r="A856" s="6"/>
      <c r="B856" s="6"/>
      <c r="C856" s="24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5.6">
      <c r="A857" s="6"/>
      <c r="B857" s="6"/>
      <c r="C857" s="24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5.6">
      <c r="A858" s="6"/>
      <c r="B858" s="6"/>
      <c r="C858" s="24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5.6">
      <c r="A859" s="6"/>
      <c r="B859" s="6"/>
      <c r="C859" s="24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5.6">
      <c r="A860" s="6"/>
      <c r="B860" s="6"/>
      <c r="C860" s="24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5.6">
      <c r="A861" s="6"/>
      <c r="B861" s="6"/>
      <c r="C861" s="24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5.6">
      <c r="A862" s="6"/>
      <c r="B862" s="6"/>
      <c r="C862" s="24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5.6">
      <c r="A863" s="6"/>
      <c r="B863" s="6"/>
      <c r="C863" s="24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5.6">
      <c r="A864" s="6"/>
      <c r="B864" s="6"/>
      <c r="C864" s="24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5.6">
      <c r="A865" s="6"/>
      <c r="B865" s="6"/>
      <c r="C865" s="24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5.6">
      <c r="A866" s="6"/>
      <c r="B866" s="6"/>
      <c r="C866" s="24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5.6">
      <c r="A867" s="6"/>
      <c r="B867" s="6"/>
      <c r="C867" s="24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5.6">
      <c r="A868" s="6"/>
      <c r="B868" s="6"/>
      <c r="C868" s="24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5.6">
      <c r="A869" s="6"/>
      <c r="B869" s="6"/>
      <c r="C869" s="24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5.6">
      <c r="A870" s="6"/>
      <c r="B870" s="6"/>
      <c r="C870" s="24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5.6">
      <c r="A871" s="6"/>
      <c r="B871" s="6"/>
      <c r="C871" s="24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5.6">
      <c r="A872" s="6"/>
      <c r="B872" s="6"/>
      <c r="C872" s="24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5.6">
      <c r="A873" s="6"/>
      <c r="B873" s="6"/>
      <c r="C873" s="24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5.6">
      <c r="A874" s="6"/>
      <c r="B874" s="6"/>
      <c r="C874" s="24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5.6">
      <c r="A875" s="6"/>
      <c r="B875" s="6"/>
      <c r="C875" s="24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5.6">
      <c r="A876" s="6"/>
      <c r="B876" s="6"/>
      <c r="C876" s="24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5.6">
      <c r="A877" s="6"/>
      <c r="B877" s="6"/>
      <c r="C877" s="24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5.6">
      <c r="A878" s="6"/>
      <c r="B878" s="6"/>
      <c r="C878" s="24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5.6">
      <c r="A879" s="6"/>
      <c r="B879" s="6"/>
      <c r="C879" s="24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5.6">
      <c r="A880" s="6"/>
      <c r="B880" s="6"/>
      <c r="C880" s="24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5.6">
      <c r="A881" s="6"/>
      <c r="B881" s="6"/>
      <c r="C881" s="24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5.6">
      <c r="A882" s="6"/>
      <c r="B882" s="6"/>
      <c r="C882" s="24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5.6">
      <c r="A883" s="6"/>
      <c r="B883" s="6"/>
      <c r="C883" s="24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5.6">
      <c r="A884" s="6"/>
      <c r="B884" s="6"/>
      <c r="C884" s="24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5.6">
      <c r="A885" s="6"/>
      <c r="B885" s="6"/>
      <c r="C885" s="24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5.6">
      <c r="A886" s="6"/>
      <c r="B886" s="6"/>
      <c r="C886" s="24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5.6">
      <c r="A887" s="6"/>
      <c r="B887" s="6"/>
      <c r="C887" s="24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5.6">
      <c r="A888" s="6"/>
      <c r="B888" s="6"/>
      <c r="C888" s="24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5.6">
      <c r="A889" s="6"/>
      <c r="B889" s="6"/>
      <c r="C889" s="24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5.6">
      <c r="A890" s="6"/>
      <c r="B890" s="6"/>
      <c r="C890" s="24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5.6">
      <c r="A891" s="6"/>
      <c r="B891" s="6"/>
      <c r="C891" s="24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5.6">
      <c r="A892" s="6"/>
      <c r="B892" s="6"/>
      <c r="C892" s="24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5.6">
      <c r="A893" s="6"/>
      <c r="B893" s="6"/>
      <c r="C893" s="24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5.6">
      <c r="A894" s="6"/>
      <c r="B894" s="6"/>
      <c r="C894" s="24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5.6">
      <c r="A895" s="6"/>
      <c r="B895" s="6"/>
      <c r="C895" s="24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5.6">
      <c r="A896" s="6"/>
      <c r="B896" s="6"/>
      <c r="C896" s="24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5.6">
      <c r="A897" s="6"/>
      <c r="B897" s="6"/>
      <c r="C897" s="24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5.6">
      <c r="A898" s="6"/>
      <c r="B898" s="6"/>
      <c r="C898" s="24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5.6">
      <c r="A899" s="6"/>
      <c r="B899" s="6"/>
      <c r="C899" s="24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5.6">
      <c r="A900" s="6"/>
      <c r="B900" s="6"/>
      <c r="C900" s="24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5.6">
      <c r="A901" s="6"/>
      <c r="B901" s="6"/>
      <c r="C901" s="24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5.6">
      <c r="A902" s="6"/>
      <c r="B902" s="6"/>
      <c r="C902" s="24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5.6">
      <c r="A903" s="6"/>
      <c r="B903" s="6"/>
      <c r="C903" s="24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5.6">
      <c r="A904" s="6"/>
      <c r="B904" s="6"/>
      <c r="C904" s="24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5.6">
      <c r="A905" s="6"/>
      <c r="B905" s="6"/>
      <c r="C905" s="24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5.6">
      <c r="A906" s="6"/>
      <c r="B906" s="6"/>
      <c r="C906" s="24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5.6">
      <c r="A907" s="6"/>
      <c r="B907" s="6"/>
      <c r="C907" s="24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5.6">
      <c r="A908" s="6"/>
      <c r="B908" s="6"/>
      <c r="C908" s="24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5.6">
      <c r="A909" s="6"/>
      <c r="B909" s="6"/>
      <c r="C909" s="24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5.6">
      <c r="A910" s="6"/>
      <c r="B910" s="6"/>
      <c r="C910" s="24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5.6">
      <c r="A911" s="6"/>
      <c r="B911" s="6"/>
      <c r="C911" s="24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5.6">
      <c r="A912" s="6"/>
      <c r="B912" s="6"/>
      <c r="C912" s="24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5.6">
      <c r="A913" s="6"/>
      <c r="B913" s="6"/>
      <c r="C913" s="24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5.6">
      <c r="A914" s="6"/>
      <c r="B914" s="6"/>
      <c r="C914" s="24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5.6">
      <c r="A915" s="6"/>
      <c r="B915" s="6"/>
      <c r="C915" s="24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5.6">
      <c r="A916" s="6"/>
      <c r="B916" s="6"/>
      <c r="C916" s="24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5.6">
      <c r="A917" s="6"/>
      <c r="B917" s="6"/>
      <c r="C917" s="24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5.6">
      <c r="A918" s="6"/>
      <c r="B918" s="6"/>
      <c r="C918" s="24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5.6">
      <c r="A919" s="6"/>
      <c r="B919" s="6"/>
      <c r="C919" s="24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5.6">
      <c r="A920" s="6"/>
      <c r="B920" s="6"/>
      <c r="C920" s="24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5.6">
      <c r="A921" s="6"/>
      <c r="B921" s="6"/>
      <c r="C921" s="24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5.6">
      <c r="A922" s="6"/>
      <c r="B922" s="6"/>
      <c r="C922" s="24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5.6">
      <c r="A923" s="6"/>
      <c r="B923" s="6"/>
      <c r="C923" s="24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5.6">
      <c r="A924" s="6"/>
      <c r="B924" s="6"/>
      <c r="C924" s="24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5.6">
      <c r="A925" s="6"/>
      <c r="B925" s="6"/>
      <c r="C925" s="24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5.6">
      <c r="A926" s="6"/>
      <c r="B926" s="6"/>
      <c r="C926" s="24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5.6">
      <c r="A927" s="6"/>
      <c r="B927" s="6"/>
      <c r="C927" s="24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5.6">
      <c r="A928" s="6"/>
      <c r="B928" s="6"/>
      <c r="C928" s="24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5.6">
      <c r="A929" s="6"/>
      <c r="B929" s="6"/>
      <c r="C929" s="24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5.6">
      <c r="A930" s="6"/>
      <c r="B930" s="6"/>
      <c r="C930" s="24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5.6">
      <c r="A931" s="6"/>
      <c r="B931" s="6"/>
      <c r="C931" s="24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5.6">
      <c r="A932" s="6"/>
      <c r="B932" s="6"/>
      <c r="C932" s="24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5.6">
      <c r="A933" s="6"/>
      <c r="B933" s="6"/>
      <c r="C933" s="24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5.6">
      <c r="A934" s="6"/>
      <c r="B934" s="6"/>
      <c r="C934" s="24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5.6">
      <c r="A935" s="6"/>
      <c r="B935" s="6"/>
      <c r="C935" s="24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5.6">
      <c r="A936" s="6"/>
      <c r="B936" s="6"/>
      <c r="C936" s="24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5.6">
      <c r="A937" s="6"/>
      <c r="B937" s="6"/>
      <c r="C937" s="24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5.6">
      <c r="A938" s="6"/>
      <c r="B938" s="6"/>
      <c r="C938" s="24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5.6">
      <c r="A939" s="6"/>
      <c r="B939" s="6"/>
      <c r="C939" s="24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5.6">
      <c r="A940" s="6"/>
      <c r="B940" s="6"/>
      <c r="C940" s="24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5.6">
      <c r="A941" s="6"/>
      <c r="B941" s="6"/>
      <c r="C941" s="24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5.6">
      <c r="A942" s="6"/>
      <c r="B942" s="6"/>
      <c r="C942" s="24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5.6">
      <c r="A943" s="6"/>
      <c r="B943" s="6"/>
      <c r="C943" s="24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5.6">
      <c r="A944" s="6"/>
      <c r="B944" s="6"/>
      <c r="C944" s="24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5.6">
      <c r="A945" s="6"/>
      <c r="B945" s="6"/>
      <c r="C945" s="24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5.6">
      <c r="A946" s="6"/>
      <c r="B946" s="6"/>
      <c r="C946" s="24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5.6">
      <c r="A947" s="6"/>
      <c r="B947" s="6"/>
      <c r="C947" s="24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5.6">
      <c r="A948" s="6"/>
      <c r="B948" s="6"/>
      <c r="C948" s="24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5.6">
      <c r="A949" s="6"/>
      <c r="B949" s="6"/>
      <c r="C949" s="24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5.6">
      <c r="A950" s="6"/>
      <c r="B950" s="6"/>
      <c r="C950" s="24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5.6">
      <c r="A951" s="6"/>
      <c r="B951" s="6"/>
      <c r="C951" s="24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5.6">
      <c r="A952" s="6"/>
      <c r="B952" s="6"/>
      <c r="C952" s="24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5.6">
      <c r="A953" s="6"/>
      <c r="B953" s="6"/>
      <c r="C953" s="24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5.6">
      <c r="A954" s="6"/>
      <c r="B954" s="6"/>
      <c r="C954" s="24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5.6">
      <c r="A955" s="6"/>
      <c r="B955" s="6"/>
      <c r="C955" s="24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5.6">
      <c r="A956" s="6"/>
      <c r="B956" s="6"/>
      <c r="C956" s="24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5.6">
      <c r="A957" s="6"/>
      <c r="B957" s="6"/>
      <c r="C957" s="24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5.6">
      <c r="A958" s="6"/>
      <c r="B958" s="6"/>
      <c r="C958" s="24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5.6">
      <c r="A959" s="6"/>
      <c r="B959" s="6"/>
      <c r="C959" s="24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5.6">
      <c r="A960" s="6"/>
      <c r="B960" s="6"/>
      <c r="C960" s="24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5.6">
      <c r="A961" s="6"/>
      <c r="B961" s="6"/>
      <c r="C961" s="24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5.6">
      <c r="A962" s="6"/>
      <c r="B962" s="6"/>
      <c r="C962" s="24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5.6">
      <c r="A963" s="6"/>
      <c r="B963" s="6"/>
      <c r="C963" s="24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5.6">
      <c r="A964" s="6"/>
      <c r="B964" s="6"/>
      <c r="C964" s="24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5.6">
      <c r="A965" s="6"/>
      <c r="B965" s="6"/>
      <c r="C965" s="24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5.6">
      <c r="A966" s="6"/>
      <c r="B966" s="6"/>
      <c r="C966" s="24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5.6">
      <c r="A967" s="6"/>
      <c r="B967" s="6"/>
      <c r="C967" s="24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5.6">
      <c r="A968" s="6"/>
      <c r="B968" s="6"/>
      <c r="C968" s="24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5.6">
      <c r="A969" s="6"/>
      <c r="B969" s="6"/>
      <c r="C969" s="24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5.6">
      <c r="A970" s="6"/>
      <c r="B970" s="6"/>
      <c r="C970" s="24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5.6">
      <c r="A971" s="6"/>
      <c r="B971" s="6"/>
      <c r="C971" s="24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5.6">
      <c r="A972" s="6"/>
      <c r="B972" s="6"/>
      <c r="C972" s="24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5.6">
      <c r="A973" s="6"/>
      <c r="B973" s="6"/>
      <c r="C973" s="24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5.6">
      <c r="A974" s="6"/>
      <c r="B974" s="6"/>
      <c r="C974" s="24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5.6">
      <c r="A975" s="6"/>
      <c r="B975" s="6"/>
      <c r="C975" s="24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5.6">
      <c r="A976" s="6"/>
      <c r="B976" s="6"/>
      <c r="C976" s="24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5.6">
      <c r="A977" s="6"/>
      <c r="B977" s="6"/>
      <c r="C977" s="24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5.6">
      <c r="A978" s="6"/>
      <c r="B978" s="6"/>
      <c r="C978" s="24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5.6">
      <c r="A979" s="6"/>
      <c r="B979" s="6"/>
      <c r="C979" s="24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5.6">
      <c r="A980" s="6"/>
      <c r="B980" s="6"/>
      <c r="C980" s="24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5.6">
      <c r="A981" s="6"/>
      <c r="B981" s="6"/>
      <c r="C981" s="24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5.6">
      <c r="A982" s="6"/>
      <c r="B982" s="6"/>
      <c r="C982" s="24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5.6">
      <c r="A983" s="6"/>
      <c r="B983" s="6"/>
      <c r="C983" s="24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5.6">
      <c r="A984" s="6"/>
      <c r="B984" s="6"/>
      <c r="C984" s="24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5.6">
      <c r="A985" s="6"/>
      <c r="B985" s="6"/>
      <c r="C985" s="24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5.6">
      <c r="A986" s="6"/>
      <c r="B986" s="6"/>
      <c r="C986" s="24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5.6">
      <c r="A987" s="6"/>
      <c r="B987" s="6"/>
      <c r="C987" s="24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5.6">
      <c r="A988" s="6"/>
      <c r="B988" s="6"/>
      <c r="C988" s="24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5.6">
      <c r="A989" s="6"/>
      <c r="B989" s="6"/>
      <c r="C989" s="24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5.6">
      <c r="A990" s="6"/>
      <c r="B990" s="6"/>
      <c r="C990" s="24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5.6">
      <c r="A991" s="6"/>
      <c r="B991" s="6"/>
      <c r="C991" s="24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5.6">
      <c r="A992" s="6"/>
      <c r="B992" s="6"/>
      <c r="C992" s="24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5.6">
      <c r="A993" s="6"/>
      <c r="B993" s="6"/>
      <c r="C993" s="24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5.6">
      <c r="A994" s="6"/>
      <c r="B994" s="6"/>
      <c r="C994" s="24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5.6">
      <c r="A995" s="6"/>
      <c r="B995" s="6"/>
      <c r="C995" s="24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5.6">
      <c r="A996" s="6"/>
      <c r="B996" s="6"/>
      <c r="C996" s="24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5.6">
      <c r="A997" s="6"/>
      <c r="B997" s="6"/>
      <c r="C997" s="24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5.6">
      <c r="A998" s="6"/>
      <c r="B998" s="6"/>
      <c r="C998" s="24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5.6">
      <c r="A999" s="6"/>
      <c r="B999" s="6"/>
      <c r="C999" s="24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5.6">
      <c r="A1000" s="6"/>
      <c r="B1000" s="6"/>
      <c r="C1000" s="24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spans="1:26" ht="15.6">
      <c r="A1001" s="6"/>
      <c r="B1001" s="6"/>
      <c r="C1001" s="24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spans="1:26" ht="15.6">
      <c r="A1002" s="6"/>
      <c r="B1002" s="6"/>
      <c r="C1002" s="24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</sheetData>
  <mergeCells count="2">
    <mergeCell ref="D1:H1"/>
    <mergeCell ref="I1:M1"/>
  </mergeCells>
  <conditionalFormatting sqref="D3:M3">
    <cfRule type="containsText" dxfId="1" priority="1" operator="containsText" text="OK">
      <formula>NOT(ISERROR(SEARCH(("OK"),(D3))))</formula>
    </cfRule>
    <cfRule type="containsText" dxfId="0" priority="2" operator="containsText" text="ERROR">
      <formula>NOT(ISERROR(SEARCH(("ERROR"),(D3))))</formula>
    </cfRule>
  </conditionalFormatting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189DE-F548-4FAA-8AA5-4099541FD2B0}">
  <dimension ref="C3:F41"/>
  <sheetViews>
    <sheetView workbookViewId="0">
      <selection activeCell="D13" sqref="D13"/>
    </sheetView>
  </sheetViews>
  <sheetFormatPr defaultRowHeight="14.4"/>
  <cols>
    <col min="3" max="6" width="34.5546875" customWidth="1"/>
  </cols>
  <sheetData>
    <row r="3" spans="3:6">
      <c r="C3" s="3" t="s">
        <v>214</v>
      </c>
      <c r="D3" s="3" t="s">
        <v>215</v>
      </c>
      <c r="E3" s="3" t="s">
        <v>217</v>
      </c>
      <c r="F3" s="3" t="s">
        <v>216</v>
      </c>
    </row>
    <row r="4" spans="3:6">
      <c r="C4" s="132" t="s">
        <v>86</v>
      </c>
      <c r="D4" s="132" t="s">
        <v>87</v>
      </c>
      <c r="E4" s="132" t="s">
        <v>219</v>
      </c>
      <c r="F4" s="132" t="s">
        <v>218</v>
      </c>
    </row>
    <row r="5" spans="3:6">
      <c r="C5" s="132" t="s">
        <v>86</v>
      </c>
      <c r="D5" s="132" t="s">
        <v>88</v>
      </c>
      <c r="E5" s="132" t="s">
        <v>221</v>
      </c>
      <c r="F5" s="132" t="s">
        <v>220</v>
      </c>
    </row>
    <row r="6" spans="3:6">
      <c r="C6" s="132" t="s">
        <v>86</v>
      </c>
      <c r="D6" s="132" t="s">
        <v>222</v>
      </c>
      <c r="E6" s="132" t="s">
        <v>224</v>
      </c>
      <c r="F6" s="132" t="s">
        <v>223</v>
      </c>
    </row>
    <row r="7" spans="3:6">
      <c r="C7" s="132" t="s">
        <v>86</v>
      </c>
      <c r="D7" s="132" t="s">
        <v>89</v>
      </c>
      <c r="E7" s="132" t="s">
        <v>226</v>
      </c>
      <c r="F7" s="132" t="s">
        <v>225</v>
      </c>
    </row>
    <row r="8" spans="3:6">
      <c r="C8" s="132" t="s">
        <v>86</v>
      </c>
      <c r="D8" s="132" t="s">
        <v>90</v>
      </c>
      <c r="E8" s="132" t="s">
        <v>228</v>
      </c>
      <c r="F8" s="132" t="s">
        <v>227</v>
      </c>
    </row>
    <row r="9" spans="3:6">
      <c r="C9" s="132" t="s">
        <v>86</v>
      </c>
      <c r="D9" s="132" t="s">
        <v>229</v>
      </c>
      <c r="E9" s="132" t="s">
        <v>231</v>
      </c>
      <c r="F9" s="132" t="s">
        <v>230</v>
      </c>
    </row>
    <row r="10" spans="3:6">
      <c r="C10" s="132" t="s">
        <v>86</v>
      </c>
      <c r="D10" s="132" t="s">
        <v>232</v>
      </c>
      <c r="E10" s="132" t="s">
        <v>234</v>
      </c>
      <c r="F10" s="132" t="s">
        <v>233</v>
      </c>
    </row>
    <row r="12" spans="3:6">
      <c r="C12" s="110" t="s">
        <v>214</v>
      </c>
      <c r="D12" s="110" t="s">
        <v>235</v>
      </c>
      <c r="E12" s="110" t="s">
        <v>237</v>
      </c>
      <c r="F12" s="110" t="s">
        <v>236</v>
      </c>
    </row>
    <row r="13" spans="3:6">
      <c r="C13" s="111" t="s">
        <v>91</v>
      </c>
      <c r="D13" s="111" t="s">
        <v>92</v>
      </c>
      <c r="E13" s="111" t="s">
        <v>239</v>
      </c>
      <c r="F13" s="111" t="s">
        <v>238</v>
      </c>
    </row>
    <row r="14" spans="3:6">
      <c r="C14" s="111" t="s">
        <v>91</v>
      </c>
      <c r="D14" s="111" t="s">
        <v>240</v>
      </c>
      <c r="E14" s="111" t="s">
        <v>242</v>
      </c>
      <c r="F14" s="111" t="s">
        <v>241</v>
      </c>
    </row>
    <row r="15" spans="3:6">
      <c r="C15" s="111" t="s">
        <v>91</v>
      </c>
      <c r="D15" s="111" t="s">
        <v>243</v>
      </c>
      <c r="E15" s="111" t="s">
        <v>245</v>
      </c>
      <c r="F15" s="111" t="s">
        <v>244</v>
      </c>
    </row>
    <row r="16" spans="3:6">
      <c r="C16" s="111" t="s">
        <v>91</v>
      </c>
      <c r="D16" s="111" t="s">
        <v>246</v>
      </c>
      <c r="E16" s="111" t="s">
        <v>248</v>
      </c>
      <c r="F16" s="111" t="s">
        <v>247</v>
      </c>
    </row>
    <row r="18" spans="3:6">
      <c r="C18" s="110" t="s">
        <v>214</v>
      </c>
      <c r="D18" s="110" t="s">
        <v>235</v>
      </c>
      <c r="E18" s="110" t="s">
        <v>237</v>
      </c>
      <c r="F18" s="110" t="s">
        <v>236</v>
      </c>
    </row>
    <row r="19" spans="3:6">
      <c r="C19" s="111" t="s">
        <v>93</v>
      </c>
      <c r="D19" s="111" t="s">
        <v>249</v>
      </c>
      <c r="E19" s="111" t="s">
        <v>251</v>
      </c>
      <c r="F19" s="111" t="s">
        <v>250</v>
      </c>
    </row>
    <row r="20" spans="3:6">
      <c r="C20" s="111" t="s">
        <v>93</v>
      </c>
      <c r="D20" s="111" t="s">
        <v>94</v>
      </c>
      <c r="E20" s="111" t="s">
        <v>253</v>
      </c>
      <c r="F20" s="111" t="s">
        <v>252</v>
      </c>
    </row>
    <row r="21" spans="3:6">
      <c r="C21" s="111" t="s">
        <v>93</v>
      </c>
      <c r="D21" s="111" t="s">
        <v>254</v>
      </c>
      <c r="E21" s="111" t="s">
        <v>256</v>
      </c>
      <c r="F21" s="111" t="s">
        <v>255</v>
      </c>
    </row>
    <row r="22" spans="3:6">
      <c r="C22" s="111" t="s">
        <v>93</v>
      </c>
      <c r="D22" s="111" t="s">
        <v>95</v>
      </c>
      <c r="E22" s="111" t="s">
        <v>258</v>
      </c>
      <c r="F22" s="111" t="s">
        <v>257</v>
      </c>
    </row>
    <row r="23" spans="3:6">
      <c r="C23" s="111" t="s">
        <v>93</v>
      </c>
      <c r="D23" s="111" t="s">
        <v>259</v>
      </c>
      <c r="E23" s="111" t="s">
        <v>261</v>
      </c>
      <c r="F23" s="111" t="s">
        <v>260</v>
      </c>
    </row>
    <row r="25" spans="3:6">
      <c r="C25" s="110" t="s">
        <v>214</v>
      </c>
      <c r="D25" s="110" t="s">
        <v>235</v>
      </c>
      <c r="E25" s="110" t="s">
        <v>237</v>
      </c>
      <c r="F25" s="110" t="s">
        <v>236</v>
      </c>
    </row>
    <row r="26" spans="3:6">
      <c r="C26" s="111" t="s">
        <v>96</v>
      </c>
      <c r="D26" s="111" t="s">
        <v>262</v>
      </c>
      <c r="E26" s="111" t="s">
        <v>264</v>
      </c>
      <c r="F26" s="111" t="s">
        <v>263</v>
      </c>
    </row>
    <row r="27" spans="3:6">
      <c r="C27" s="111" t="s">
        <v>96</v>
      </c>
      <c r="D27" s="111" t="s">
        <v>265</v>
      </c>
      <c r="E27" s="111" t="s">
        <v>267</v>
      </c>
      <c r="F27" s="111" t="s">
        <v>266</v>
      </c>
    </row>
    <row r="28" spans="3:6">
      <c r="C28" s="111" t="s">
        <v>96</v>
      </c>
      <c r="D28" s="111" t="s">
        <v>268</v>
      </c>
      <c r="E28" s="111" t="s">
        <v>270</v>
      </c>
      <c r="F28" s="111" t="s">
        <v>269</v>
      </c>
    </row>
    <row r="29" spans="3:6">
      <c r="C29" s="111" t="s">
        <v>96</v>
      </c>
      <c r="D29" s="111" t="s">
        <v>271</v>
      </c>
      <c r="E29" s="111" t="s">
        <v>273</v>
      </c>
      <c r="F29" s="111" t="s">
        <v>272</v>
      </c>
    </row>
    <row r="31" spans="3:6">
      <c r="C31" s="110" t="s">
        <v>214</v>
      </c>
      <c r="D31" s="110" t="s">
        <v>235</v>
      </c>
      <c r="E31" s="110" t="s">
        <v>237</v>
      </c>
      <c r="F31" s="110" t="s">
        <v>236</v>
      </c>
    </row>
    <row r="32" spans="3:6">
      <c r="C32" s="111" t="s">
        <v>274</v>
      </c>
      <c r="D32" s="111" t="s">
        <v>275</v>
      </c>
      <c r="E32" s="111" t="s">
        <v>277</v>
      </c>
      <c r="F32" s="111" t="s">
        <v>276</v>
      </c>
    </row>
    <row r="33" spans="3:6">
      <c r="C33" s="111" t="s">
        <v>274</v>
      </c>
      <c r="D33" s="111" t="s">
        <v>278</v>
      </c>
      <c r="E33" s="111" t="s">
        <v>280</v>
      </c>
      <c r="F33" s="111" t="s">
        <v>279</v>
      </c>
    </row>
    <row r="34" spans="3:6">
      <c r="C34" s="111" t="s">
        <v>274</v>
      </c>
      <c r="D34" s="111" t="s">
        <v>281</v>
      </c>
      <c r="E34" s="111" t="s">
        <v>283</v>
      </c>
      <c r="F34" s="111" t="s">
        <v>282</v>
      </c>
    </row>
    <row r="35" spans="3:6">
      <c r="C35" s="111" t="s">
        <v>274</v>
      </c>
      <c r="D35" s="111" t="s">
        <v>284</v>
      </c>
      <c r="E35" s="111" t="s">
        <v>286</v>
      </c>
      <c r="F35" s="111" t="s">
        <v>285</v>
      </c>
    </row>
    <row r="37" spans="3:6">
      <c r="C37" s="110" t="s">
        <v>214</v>
      </c>
      <c r="D37" s="110" t="s">
        <v>235</v>
      </c>
      <c r="E37" s="110" t="s">
        <v>237</v>
      </c>
      <c r="F37" s="110" t="s">
        <v>236</v>
      </c>
    </row>
    <row r="38" spans="3:6">
      <c r="C38" s="111" t="s">
        <v>287</v>
      </c>
      <c r="D38" s="111" t="s">
        <v>288</v>
      </c>
      <c r="E38" s="111" t="s">
        <v>290</v>
      </c>
      <c r="F38" s="111" t="s">
        <v>289</v>
      </c>
    </row>
    <row r="39" spans="3:6">
      <c r="C39" s="111" t="s">
        <v>287</v>
      </c>
      <c r="D39" s="111" t="s">
        <v>291</v>
      </c>
      <c r="E39" s="111" t="s">
        <v>293</v>
      </c>
      <c r="F39" s="111" t="s">
        <v>292</v>
      </c>
    </row>
    <row r="40" spans="3:6">
      <c r="C40" s="111" t="s">
        <v>287</v>
      </c>
      <c r="D40" s="111" t="s">
        <v>294</v>
      </c>
      <c r="E40" s="111" t="s">
        <v>296</v>
      </c>
      <c r="F40" s="111" t="s">
        <v>295</v>
      </c>
    </row>
    <row r="41" spans="3:6">
      <c r="C41" s="111" t="s">
        <v>287</v>
      </c>
      <c r="D41" s="111" t="s">
        <v>297</v>
      </c>
      <c r="E41" s="111" t="s">
        <v>299</v>
      </c>
      <c r="F41" s="111" t="s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Rules</vt:lpstr>
      <vt:lpstr>IS</vt:lpstr>
      <vt:lpstr>BS</vt:lpstr>
      <vt:lpstr>CFS</vt:lpstr>
      <vt:lpstr>Supporting Schedules</vt:lpstr>
      <vt:lpstr>Ratio Analysis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e14</dc:creator>
  <cp:lastModifiedBy>Shivam Raj</cp:lastModifiedBy>
  <dcterms:created xsi:type="dcterms:W3CDTF">2026-01-04T12:22:31Z</dcterms:created>
  <dcterms:modified xsi:type="dcterms:W3CDTF">2026-02-01T19:12:55Z</dcterms:modified>
</cp:coreProperties>
</file>