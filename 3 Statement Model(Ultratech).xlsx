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591C0EE-7E15-43DF-B96E-67E86724D45C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Sheet1" sheetId="6" state="hidden" r:id="rId1"/>
    <sheet name="Assumptions" sheetId="1" r:id="rId2"/>
    <sheet name="Income Statement" sheetId="3" r:id="rId3"/>
    <sheet name="Balance Sheet" sheetId="5" r:id="rId4"/>
    <sheet name="Schedules" sheetId="2" r:id="rId5"/>
    <sheet name="Cash Flow" sheetId="4" r:id="rId6"/>
    <sheet name="Ratio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G3" i="7" s="1"/>
  <c r="H3" i="7" s="1"/>
  <c r="I3" i="7" s="1"/>
  <c r="J3" i="7" s="1"/>
  <c r="D3" i="1"/>
  <c r="E3" i="1" s="1"/>
  <c r="F3" i="1" s="1"/>
  <c r="G3" i="1" s="1"/>
  <c r="H3" i="1" s="1"/>
  <c r="D3" i="4"/>
  <c r="E3" i="4" s="1"/>
  <c r="F3" i="4" s="1"/>
  <c r="G3" i="4" s="1"/>
  <c r="H3" i="4" s="1"/>
  <c r="D3" i="2"/>
  <c r="E3" i="2" s="1"/>
  <c r="F3" i="2" s="1"/>
  <c r="G3" i="2" s="1"/>
  <c r="H3" i="2" s="1"/>
  <c r="D3" i="5"/>
  <c r="E3" i="5" s="1"/>
  <c r="F3" i="5" s="1"/>
  <c r="G3" i="5" s="1"/>
  <c r="H3" i="5" s="1"/>
  <c r="C9" i="3"/>
  <c r="C7" i="3"/>
  <c r="E3" i="3"/>
  <c r="F3" i="3" s="1"/>
  <c r="G3" i="3" s="1"/>
  <c r="H3" i="3" s="1"/>
  <c r="D3" i="3"/>
  <c r="H33" i="5" l="1"/>
  <c r="G33" i="5"/>
  <c r="F33" i="5"/>
  <c r="E33" i="5"/>
  <c r="D33" i="5"/>
  <c r="H27" i="5"/>
  <c r="G27" i="5"/>
  <c r="F27" i="5"/>
  <c r="E27" i="5"/>
  <c r="D27" i="5"/>
  <c r="H18" i="5"/>
  <c r="G18" i="5"/>
  <c r="F18" i="5"/>
  <c r="E18" i="5"/>
  <c r="D18" i="5"/>
  <c r="H17" i="5"/>
  <c r="G17" i="5"/>
  <c r="F17" i="5"/>
  <c r="E17" i="5"/>
  <c r="D17" i="5"/>
  <c r="H16" i="5"/>
  <c r="G16" i="5"/>
  <c r="F16" i="5"/>
  <c r="E16" i="5"/>
  <c r="D16" i="5"/>
  <c r="D34" i="4"/>
  <c r="H27" i="4"/>
  <c r="G27" i="4"/>
  <c r="F27" i="4"/>
  <c r="E27" i="4"/>
  <c r="D27" i="4"/>
  <c r="H26" i="4"/>
  <c r="G26" i="4"/>
  <c r="F26" i="4"/>
  <c r="E26" i="4"/>
  <c r="D26" i="4"/>
  <c r="H25" i="4"/>
  <c r="G25" i="4"/>
  <c r="F25" i="4"/>
  <c r="E25" i="4"/>
  <c r="D25" i="4"/>
  <c r="H24" i="4"/>
  <c r="G24" i="4"/>
  <c r="F24" i="4"/>
  <c r="E24" i="4"/>
  <c r="D24" i="4"/>
  <c r="H20" i="4"/>
  <c r="G20" i="4"/>
  <c r="F20" i="4"/>
  <c r="E20" i="4"/>
  <c r="D20" i="4"/>
  <c r="H19" i="4"/>
  <c r="G19" i="4"/>
  <c r="F19" i="4"/>
  <c r="E19" i="4"/>
  <c r="D19" i="4"/>
  <c r="H18" i="4"/>
  <c r="G18" i="4"/>
  <c r="F18" i="4"/>
  <c r="E18" i="4"/>
  <c r="D18" i="4"/>
  <c r="H17" i="4"/>
  <c r="G17" i="4"/>
  <c r="F17" i="4"/>
  <c r="E17" i="4"/>
  <c r="D17" i="4"/>
  <c r="H13" i="3"/>
  <c r="G13" i="3"/>
  <c r="F13" i="3"/>
  <c r="E13" i="3"/>
  <c r="D13" i="3"/>
  <c r="D5" i="3"/>
  <c r="E5" i="3" s="1"/>
  <c r="F5" i="3" s="1"/>
  <c r="D68" i="2"/>
  <c r="H64" i="2"/>
  <c r="G64" i="2"/>
  <c r="F64" i="2"/>
  <c r="E64" i="2"/>
  <c r="D64" i="2"/>
  <c r="H63" i="2"/>
  <c r="G63" i="2"/>
  <c r="F63" i="2"/>
  <c r="E63" i="2"/>
  <c r="D63" i="2"/>
  <c r="D62" i="2"/>
  <c r="D26" i="2"/>
  <c r="H22" i="2"/>
  <c r="H28" i="2" s="1"/>
  <c r="G22" i="2"/>
  <c r="G28" i="2" s="1"/>
  <c r="F22" i="2"/>
  <c r="F28" i="2" s="1"/>
  <c r="E22" i="2"/>
  <c r="E28" i="2" s="1"/>
  <c r="D22" i="2"/>
  <c r="D28" i="2" s="1"/>
  <c r="H21" i="2"/>
  <c r="G21" i="2"/>
  <c r="F21" i="2"/>
  <c r="E21" i="2"/>
  <c r="D21" i="2"/>
  <c r="D20" i="2"/>
  <c r="D27" i="2" s="1"/>
  <c r="D7" i="4" s="1"/>
  <c r="H12" i="2"/>
  <c r="G12" i="2"/>
  <c r="F12" i="2"/>
  <c r="E12" i="2"/>
  <c r="D12" i="2"/>
  <c r="H8" i="2"/>
  <c r="G8" i="2"/>
  <c r="F8" i="2"/>
  <c r="E8" i="2"/>
  <c r="D8" i="2"/>
  <c r="H7" i="2"/>
  <c r="G7" i="2"/>
  <c r="F7" i="2"/>
  <c r="E7" i="2"/>
  <c r="D7" i="2"/>
  <c r="D6" i="2"/>
  <c r="D21" i="4" l="1"/>
  <c r="E21" i="4"/>
  <c r="G21" i="4"/>
  <c r="D65" i="2"/>
  <c r="D37" i="5" s="1"/>
  <c r="D23" i="2"/>
  <c r="E20" i="2" s="1"/>
  <c r="E27" i="2" s="1"/>
  <c r="F21" i="4"/>
  <c r="H21" i="4"/>
  <c r="D37" i="2"/>
  <c r="D48" i="2" s="1"/>
  <c r="D6" i="3"/>
  <c r="D38" i="2" s="1"/>
  <c r="D47" i="2" s="1"/>
  <c r="D26" i="5" s="1"/>
  <c r="G5" i="3"/>
  <c r="G37" i="2" s="1"/>
  <c r="F37" i="2"/>
  <c r="F43" i="2" s="1"/>
  <c r="F11" i="5" s="1"/>
  <c r="F6" i="3"/>
  <c r="F38" i="2" s="1"/>
  <c r="F42" i="2" s="1"/>
  <c r="D8" i="3"/>
  <c r="D29" i="2"/>
  <c r="E26" i="2" s="1"/>
  <c r="D9" i="2"/>
  <c r="D13" i="2" s="1"/>
  <c r="D14" i="2" s="1"/>
  <c r="D14" i="3" s="1"/>
  <c r="E37" i="2"/>
  <c r="E6" i="3"/>
  <c r="E38" i="2" s="1"/>
  <c r="D11" i="3"/>
  <c r="E8" i="3"/>
  <c r="F8" i="3"/>
  <c r="E62" i="2" l="1"/>
  <c r="E65" i="2" s="1"/>
  <c r="F62" i="2" s="1"/>
  <c r="F65" i="2" s="1"/>
  <c r="F48" i="2"/>
  <c r="F28" i="5" s="1"/>
  <c r="F41" i="2"/>
  <c r="F9" i="5" s="1"/>
  <c r="D32" i="2"/>
  <c r="D15" i="5" s="1"/>
  <c r="D19" i="5" s="1"/>
  <c r="E29" i="2"/>
  <c r="F26" i="2" s="1"/>
  <c r="D49" i="2"/>
  <c r="E23" i="2"/>
  <c r="F20" i="2" s="1"/>
  <c r="D42" i="2"/>
  <c r="D10" i="5" s="1"/>
  <c r="D7" i="3"/>
  <c r="D9" i="3" s="1"/>
  <c r="D55" i="2"/>
  <c r="D12" i="4" s="1"/>
  <c r="F7" i="3"/>
  <c r="F9" i="3" s="1"/>
  <c r="F10" i="3" s="1"/>
  <c r="F47" i="2"/>
  <c r="F26" i="5" s="1"/>
  <c r="D43" i="2"/>
  <c r="D41" i="2"/>
  <c r="H5" i="3"/>
  <c r="H8" i="3" s="1"/>
  <c r="G8" i="3"/>
  <c r="G6" i="3"/>
  <c r="G38" i="2" s="1"/>
  <c r="G42" i="2" s="1"/>
  <c r="G48" i="2"/>
  <c r="G43" i="2"/>
  <c r="G41" i="2"/>
  <c r="F10" i="5"/>
  <c r="E6" i="2"/>
  <c r="D32" i="5"/>
  <c r="D34" i="5" s="1"/>
  <c r="E42" i="2"/>
  <c r="F53" i="2" s="1"/>
  <c r="F10" i="4" s="1"/>
  <c r="E47" i="2"/>
  <c r="E7" i="4"/>
  <c r="E11" i="3"/>
  <c r="D28" i="5"/>
  <c r="D29" i="5" s="1"/>
  <c r="D56" i="2"/>
  <c r="D13" i="4" s="1"/>
  <c r="E43" i="2"/>
  <c r="E48" i="2"/>
  <c r="E41" i="2"/>
  <c r="E7" i="3"/>
  <c r="E9" i="3" s="1"/>
  <c r="E37" i="5" l="1"/>
  <c r="F44" i="2"/>
  <c r="F52" i="2"/>
  <c r="F9" i="4" s="1"/>
  <c r="F49" i="2"/>
  <c r="E32" i="2"/>
  <c r="E15" i="5" s="1"/>
  <c r="E19" i="5" s="1"/>
  <c r="D44" i="2"/>
  <c r="D53" i="2"/>
  <c r="D10" i="4" s="1"/>
  <c r="H37" i="2"/>
  <c r="H48" i="2" s="1"/>
  <c r="D9" i="5"/>
  <c r="D52" i="2"/>
  <c r="D9" i="4" s="1"/>
  <c r="H6" i="3"/>
  <c r="H38" i="2" s="1"/>
  <c r="H47" i="2" s="1"/>
  <c r="D11" i="5"/>
  <c r="D54" i="2"/>
  <c r="D11" i="4" s="1"/>
  <c r="G47" i="2"/>
  <c r="G26" i="5" s="1"/>
  <c r="D10" i="3"/>
  <c r="D12" i="3"/>
  <c r="D15" i="3" s="1"/>
  <c r="G7" i="3"/>
  <c r="G9" i="3" s="1"/>
  <c r="G10" i="3" s="1"/>
  <c r="E53" i="2"/>
  <c r="E10" i="4" s="1"/>
  <c r="E10" i="5"/>
  <c r="G62" i="2"/>
  <c r="G65" i="2" s="1"/>
  <c r="F37" i="5"/>
  <c r="G10" i="5"/>
  <c r="G53" i="2"/>
  <c r="G10" i="4" s="1"/>
  <c r="E28" i="5"/>
  <c r="E56" i="2"/>
  <c r="E13" i="4" s="1"/>
  <c r="F29" i="5"/>
  <c r="E10" i="3"/>
  <c r="E12" i="3"/>
  <c r="E55" i="2"/>
  <c r="E12" i="4" s="1"/>
  <c r="E26" i="5"/>
  <c r="E49" i="2"/>
  <c r="E52" i="2"/>
  <c r="E9" i="4" s="1"/>
  <c r="E44" i="2"/>
  <c r="E9" i="5"/>
  <c r="F27" i="2"/>
  <c r="F23" i="2"/>
  <c r="E9" i="2"/>
  <c r="E13" i="2" s="1"/>
  <c r="E14" i="2" s="1"/>
  <c r="E14" i="3" s="1"/>
  <c r="F55" i="2"/>
  <c r="F12" i="4" s="1"/>
  <c r="G9" i="5"/>
  <c r="G44" i="2"/>
  <c r="G52" i="2"/>
  <c r="G9" i="4" s="1"/>
  <c r="G56" i="2"/>
  <c r="G13" i="4" s="1"/>
  <c r="G28" i="5"/>
  <c r="E11" i="5"/>
  <c r="E54" i="2"/>
  <c r="E11" i="4" s="1"/>
  <c r="F54" i="2"/>
  <c r="F11" i="4" s="1"/>
  <c r="F56" i="2"/>
  <c r="F13" i="4" s="1"/>
  <c r="G11" i="5"/>
  <c r="G54" i="2"/>
  <c r="G11" i="4" s="1"/>
  <c r="E29" i="5" l="1"/>
  <c r="H43" i="2"/>
  <c r="H54" i="2" s="1"/>
  <c r="H11" i="4" s="1"/>
  <c r="H41" i="2"/>
  <c r="H9" i="5" s="1"/>
  <c r="H42" i="2"/>
  <c r="H53" i="2" s="1"/>
  <c r="H10" i="4" s="1"/>
  <c r="G55" i="2"/>
  <c r="G12" i="4" s="1"/>
  <c r="G49" i="2"/>
  <c r="H7" i="3"/>
  <c r="H9" i="3" s="1"/>
  <c r="H10" i="3" s="1"/>
  <c r="D16" i="3"/>
  <c r="D18" i="3" s="1"/>
  <c r="H62" i="2"/>
  <c r="H65" i="2" s="1"/>
  <c r="G37" i="5"/>
  <c r="F6" i="2"/>
  <c r="E32" i="5"/>
  <c r="E34" i="5" s="1"/>
  <c r="E15" i="3"/>
  <c r="G20" i="2"/>
  <c r="H49" i="2"/>
  <c r="H55" i="2"/>
  <c r="H12" i="4" s="1"/>
  <c r="H26" i="5"/>
  <c r="F7" i="4"/>
  <c r="F11" i="3"/>
  <c r="F12" i="3" s="1"/>
  <c r="F29" i="2"/>
  <c r="G26" i="2" s="1"/>
  <c r="G29" i="5"/>
  <c r="H28" i="5"/>
  <c r="H56" i="2"/>
  <c r="H13" i="4" s="1"/>
  <c r="H11" i="5" l="1"/>
  <c r="D17" i="3"/>
  <c r="D70" i="2" s="1"/>
  <c r="D28" i="4" s="1"/>
  <c r="D29" i="4" s="1"/>
  <c r="H52" i="2"/>
  <c r="H9" i="4" s="1"/>
  <c r="H44" i="2"/>
  <c r="H10" i="5"/>
  <c r="F32" i="2"/>
  <c r="F15" i="5" s="1"/>
  <c r="F19" i="5" s="1"/>
  <c r="H29" i="5"/>
  <c r="H37" i="5"/>
  <c r="E16" i="3"/>
  <c r="E18" i="3" s="1"/>
  <c r="G27" i="2"/>
  <c r="G29" i="2" s="1"/>
  <c r="H26" i="2" s="1"/>
  <c r="G23" i="2"/>
  <c r="F9" i="2"/>
  <c r="D19" i="3" l="1"/>
  <c r="D69" i="2"/>
  <c r="D71" i="2" s="1"/>
  <c r="D6" i="4"/>
  <c r="D14" i="4" s="1"/>
  <c r="D33" i="4" s="1"/>
  <c r="D35" i="4" s="1"/>
  <c r="E17" i="3"/>
  <c r="E69" i="2" s="1"/>
  <c r="G6" i="2"/>
  <c r="F32" i="5"/>
  <c r="F34" i="5" s="1"/>
  <c r="G32" i="2"/>
  <c r="G15" i="5" s="1"/>
  <c r="G19" i="5" s="1"/>
  <c r="H20" i="2"/>
  <c r="F13" i="2"/>
  <c r="F14" i="2" s="1"/>
  <c r="F14" i="3" s="1"/>
  <c r="F15" i="3" s="1"/>
  <c r="G7" i="4"/>
  <c r="G11" i="3"/>
  <c r="G12" i="3" s="1"/>
  <c r="E19" i="3" l="1"/>
  <c r="E6" i="4"/>
  <c r="E14" i="4" s="1"/>
  <c r="E70" i="2"/>
  <c r="E28" i="4" s="1"/>
  <c r="E29" i="4" s="1"/>
  <c r="D74" i="2"/>
  <c r="D39" i="5" s="1"/>
  <c r="D41" i="5" s="1"/>
  <c r="E68" i="2"/>
  <c r="D38" i="5"/>
  <c r="E34" i="4"/>
  <c r="D8" i="5"/>
  <c r="D12" i="5" s="1"/>
  <c r="D21" i="5" s="1"/>
  <c r="G9" i="2"/>
  <c r="G13" i="2" s="1"/>
  <c r="G14" i="2" s="1"/>
  <c r="G14" i="3" s="1"/>
  <c r="G15" i="3" s="1"/>
  <c r="F16" i="3"/>
  <c r="F18" i="3" s="1"/>
  <c r="H23" i="2"/>
  <c r="H27" i="2"/>
  <c r="E71" i="2" l="1"/>
  <c r="E38" i="5" s="1"/>
  <c r="E33" i="4"/>
  <c r="E35" i="4" s="1"/>
  <c r="D43" i="5"/>
  <c r="G16" i="3"/>
  <c r="G18" i="3" s="1"/>
  <c r="H11" i="3"/>
  <c r="H12" i="3" s="1"/>
  <c r="H7" i="4"/>
  <c r="H29" i="2"/>
  <c r="H32" i="2" s="1"/>
  <c r="H15" i="5" s="1"/>
  <c r="H19" i="5" s="1"/>
  <c r="F17" i="3"/>
  <c r="H6" i="2"/>
  <c r="G32" i="5"/>
  <c r="G34" i="5" s="1"/>
  <c r="E74" i="2" l="1"/>
  <c r="E39" i="5" s="1"/>
  <c r="E41" i="5" s="1"/>
  <c r="F68" i="2"/>
  <c r="F34" i="4"/>
  <c r="E8" i="5"/>
  <c r="E12" i="5" s="1"/>
  <c r="E21" i="5" s="1"/>
  <c r="H9" i="2"/>
  <c r="H32" i="5" s="1"/>
  <c r="H34" i="5" s="1"/>
  <c r="F70" i="2"/>
  <c r="F28" i="4" s="1"/>
  <c r="F29" i="4" s="1"/>
  <c r="F19" i="3"/>
  <c r="F69" i="2"/>
  <c r="F6" i="4"/>
  <c r="F14" i="4" s="1"/>
  <c r="G17" i="3"/>
  <c r="E43" i="5" l="1"/>
  <c r="F71" i="2"/>
  <c r="H13" i="2"/>
  <c r="H14" i="2" s="1"/>
  <c r="H14" i="3" s="1"/>
  <c r="H15" i="3" s="1"/>
  <c r="G19" i="3"/>
  <c r="G69" i="2"/>
  <c r="G6" i="4"/>
  <c r="G14" i="4" s="1"/>
  <c r="G70" i="2"/>
  <c r="G28" i="4" s="1"/>
  <c r="G29" i="4" s="1"/>
  <c r="F33" i="4"/>
  <c r="F35" i="4" s="1"/>
  <c r="F8" i="5" l="1"/>
  <c r="F12" i="5" s="1"/>
  <c r="F21" i="5" s="1"/>
  <c r="G34" i="4"/>
  <c r="G33" i="4"/>
  <c r="H16" i="3"/>
  <c r="H18" i="3" s="1"/>
  <c r="G68" i="2"/>
  <c r="G71" i="2" s="1"/>
  <c r="F38" i="5"/>
  <c r="F74" i="2"/>
  <c r="F39" i="5" s="1"/>
  <c r="F41" i="5" s="1"/>
  <c r="F43" i="5" l="1"/>
  <c r="H17" i="3"/>
  <c r="H6" i="4" s="1"/>
  <c r="H14" i="4" s="1"/>
  <c r="G38" i="5"/>
  <c r="H68" i="2"/>
  <c r="G74" i="2"/>
  <c r="G39" i="5" s="1"/>
  <c r="G41" i="5" s="1"/>
  <c r="G35" i="4"/>
  <c r="H19" i="3" l="1"/>
  <c r="H69" i="2"/>
  <c r="H70" i="2"/>
  <c r="H28" i="4" s="1"/>
  <c r="H29" i="4" s="1"/>
  <c r="H33" i="4" s="1"/>
  <c r="H34" i="4"/>
  <c r="G8" i="5"/>
  <c r="G12" i="5" s="1"/>
  <c r="G21" i="5" s="1"/>
  <c r="G43" i="5" s="1"/>
  <c r="H71" i="2" l="1"/>
  <c r="H38" i="5" s="1"/>
  <c r="H35" i="4"/>
  <c r="H8" i="5" s="1"/>
  <c r="H12" i="5" s="1"/>
  <c r="H21" i="5" s="1"/>
  <c r="H74" i="2" l="1"/>
  <c r="H39" i="5" s="1"/>
  <c r="H41" i="5" s="1"/>
  <c r="H43" i="5" s="1"/>
</calcChain>
</file>

<file path=xl/sharedStrings.xml><?xml version="1.0" encoding="utf-8"?>
<sst xmlns="http://schemas.openxmlformats.org/spreadsheetml/2006/main" count="251" uniqueCount="223">
  <si>
    <t>INCOME STATEMENT ASSUMPTIONS</t>
  </si>
  <si>
    <t>DEPRECIATION &amp; CAPEX ASSUMPTIONS</t>
  </si>
  <si>
    <t>DEBT &amp; FINANCING ASSUMPTIONS</t>
  </si>
  <si>
    <t>WORKING CAPITAL ASSUMPTIONS</t>
  </si>
  <si>
    <t>BALANCE SHEET ASSUMPTIONS</t>
  </si>
  <si>
    <t>FY2025 HISTORICAL REFERENCE – DEPRECIATION SCHEDULE BASE</t>
  </si>
  <si>
    <t>ACCUMULATED DEPRECIATION</t>
  </si>
  <si>
    <t>NET FIXED ASSETS</t>
  </si>
  <si>
    <t>CURRENT ASSETS</t>
  </si>
  <si>
    <t>CURRENT LIABILITIES</t>
  </si>
  <si>
    <t>Year-on-Year Changes in Working Capital (for CFS)</t>
  </si>
  <si>
    <t xml:space="preserve">  (Increase)/Decrease in Accounts Receivable</t>
  </si>
  <si>
    <t xml:space="preserve">  (Increase)/Decrease in Inventory</t>
  </si>
  <si>
    <t xml:space="preserve">  (Increase)/Decrease in Other Current Assets</t>
  </si>
  <si>
    <t xml:space="preserve">  Increase/(Decrease) in Accounts Payable</t>
  </si>
  <si>
    <t xml:space="preserve">  Increase/(Decrease) in Other Current Liabilities</t>
  </si>
  <si>
    <t>SHARE CAPITAL</t>
  </si>
  <si>
    <t>RETAINED EARNINGS &amp; RESERVES</t>
  </si>
  <si>
    <t>TOTAL EQUITY</t>
  </si>
  <si>
    <t>Consolidated | All figures in ₹ Crores</t>
  </si>
  <si>
    <t>Gross Profit</t>
  </si>
  <si>
    <t>EBITDA</t>
  </si>
  <si>
    <t>EBITDA Margin (%)</t>
  </si>
  <si>
    <t>Profit Before Tax (PBT)</t>
  </si>
  <si>
    <t>Net Income (PAT)</t>
  </si>
  <si>
    <t>Effective Tax Rate (%)</t>
  </si>
  <si>
    <t>Net Profit Margin (%)</t>
  </si>
  <si>
    <t>Net Income</t>
  </si>
  <si>
    <t>Changes in Working Capital:</t>
  </si>
  <si>
    <t xml:space="preserve">   (Increase)/Decrease in Accounts Receivable</t>
  </si>
  <si>
    <t xml:space="preserve">   (Increase)/Decrease in Inventory</t>
  </si>
  <si>
    <t xml:space="preserve">   (Increase)/Decrease in Other Current Assets</t>
  </si>
  <si>
    <t xml:space="preserve">   Increase/(Decrease) in Accounts Payable</t>
  </si>
  <si>
    <t xml:space="preserve">   Increase/(Decrease) in Other Current Liabilities</t>
  </si>
  <si>
    <t>Net Cash from Operating Activities</t>
  </si>
  <si>
    <t>Capital Expenditure (Gross Block Additions)</t>
  </si>
  <si>
    <t>(Increase)/Decrease in Capital Work-in-Progress (CWIP)</t>
  </si>
  <si>
    <t>(Increase)/Decrease in Investments</t>
  </si>
  <si>
    <t>Proceeds from Asset Disposals (Net)</t>
  </si>
  <si>
    <t>Net Cash from Investing Activities</t>
  </si>
  <si>
    <t>New Debt Raised</t>
  </si>
  <si>
    <t>New Equity Issued</t>
  </si>
  <si>
    <t>Net Cash from Financing Activities</t>
  </si>
  <si>
    <t>Net Increase / (Decrease) in Cash</t>
  </si>
  <si>
    <t>Closing Cash &amp; Cash Equivalents</t>
  </si>
  <si>
    <t>ASSETS</t>
  </si>
  <si>
    <t>TOTAL CURRENT ASSETS</t>
  </si>
  <si>
    <t>TOTAL NON-CURRENT ASSETS</t>
  </si>
  <si>
    <t>TOTAL ASSETS</t>
  </si>
  <si>
    <t>LIABILITIES &amp; SHAREHOLDERS' EQUITY</t>
  </si>
  <si>
    <t>TOTAL CURRENT LIABILITIES</t>
  </si>
  <si>
    <t>TOTAL NON-CURRENT LIABILITIES</t>
  </si>
  <si>
    <t>TOTAL SHAREHOLDERS' EQUITY</t>
  </si>
  <si>
    <t>TOTAL LIABILITIES &amp; EQUITY</t>
  </si>
  <si>
    <t>INCOME STATEMENT</t>
  </si>
  <si>
    <t>Year</t>
  </si>
  <si>
    <t xml:space="preserve">Revenue </t>
  </si>
  <si>
    <t>Cost of Goods Sold</t>
  </si>
  <si>
    <t>SG&amp;A / Operating Expenses</t>
  </si>
  <si>
    <t>Depreciation &amp; Amortization (D&amp;A)</t>
  </si>
  <si>
    <t>EBIT</t>
  </si>
  <si>
    <t>Other Income</t>
  </si>
  <si>
    <t>Interest Expense</t>
  </si>
  <si>
    <t>Income Tax</t>
  </si>
  <si>
    <t xml:space="preserve">BALANCE SHEET </t>
  </si>
  <si>
    <t>NON-CURRENT ASSETS</t>
  </si>
  <si>
    <t>Cash &amp; Cash Equivalents</t>
  </si>
  <si>
    <t>Inventory (Raw Materials, WIP, FG)</t>
  </si>
  <si>
    <t>Other Current Assets</t>
  </si>
  <si>
    <t>NON-CURRENT LIABILITIES</t>
  </si>
  <si>
    <t>Other Current Liabilities</t>
  </si>
  <si>
    <t>Accounts Payable</t>
  </si>
  <si>
    <t xml:space="preserve">Short-Term Debt </t>
  </si>
  <si>
    <t>Long-Term Debt</t>
  </si>
  <si>
    <t>Other LT Liabilities</t>
  </si>
  <si>
    <t>Accounts Receivable</t>
  </si>
  <si>
    <t>Net Property, Plant &amp; Equipment (Net PPE)</t>
  </si>
  <si>
    <t>Capital Work-in-Progress (CWIP)</t>
  </si>
  <si>
    <t>Investments</t>
  </si>
  <si>
    <t>Other Non-Current Assets</t>
  </si>
  <si>
    <t>Share Capital</t>
  </si>
  <si>
    <t>Retained Earnings &amp; Reserves</t>
  </si>
  <si>
    <t>BALANCE CHECK</t>
  </si>
  <si>
    <t>SHAREHOLDERS' EQUITY</t>
  </si>
  <si>
    <t xml:space="preserve">SUPPORTING SCHEDULES </t>
  </si>
  <si>
    <t>DEBT SCHEDULE</t>
  </si>
  <si>
    <t>Opening Total Debt Balance</t>
  </si>
  <si>
    <t>New Borrowings</t>
  </si>
  <si>
    <t>+</t>
  </si>
  <si>
    <t>-</t>
  </si>
  <si>
    <t>Debt Repayments</t>
  </si>
  <si>
    <t>Closing Total Debt Balance</t>
  </si>
  <si>
    <t>Interest Rate (Annual %)</t>
  </si>
  <si>
    <t>Average Debt Balance [(Opening + Closing) / 2]</t>
  </si>
  <si>
    <t>Interest Expense for the Year</t>
  </si>
  <si>
    <t>Interest Calculation</t>
  </si>
  <si>
    <t>DEPRECIATION &amp; AMORTIZATION SCHEDULE</t>
  </si>
  <si>
    <t>GROSS BLOCK (Cost of Fixed Assets)</t>
  </si>
  <si>
    <t>Opening Gross Block</t>
  </si>
  <si>
    <t>Capital Expenditure</t>
  </si>
  <si>
    <t>Closing Gross Block</t>
  </si>
  <si>
    <t>Opening Accumulated Depreciation</t>
  </si>
  <si>
    <t>Depreciation Charge for the Year</t>
  </si>
  <si>
    <t>Acc. Depr. on Disposed Assets</t>
  </si>
  <si>
    <t>Closing Accumulated Depreciation</t>
  </si>
  <si>
    <t>Net PPE (Closing Gross Block – Closing Acc. Depr.)</t>
  </si>
  <si>
    <t xml:space="preserve">Asset Disposals </t>
  </si>
  <si>
    <t>WORKING CAPITAL SCHEDULE</t>
  </si>
  <si>
    <t>Revenue</t>
  </si>
  <si>
    <t>COGS</t>
  </si>
  <si>
    <t>Accounts Receivable  [= Revenue × AR Days / 365]</t>
  </si>
  <si>
    <t>Inventory  [= COGS × Inventory Days / 365]</t>
  </si>
  <si>
    <t>Other Current Assets  [= Revenue × % Assumption]</t>
  </si>
  <si>
    <t>Total Current Assets</t>
  </si>
  <si>
    <t>Accounts Payable  [= COGS × AP Days / 365]</t>
  </si>
  <si>
    <t>Other Current Liabilities  [= Revenue × % Assumption]</t>
  </si>
  <si>
    <t>Total Current Liabilities</t>
  </si>
  <si>
    <t>SHAREHOLDERS' EQUITY SCHEDULE</t>
  </si>
  <si>
    <t>Opening Share Capital</t>
  </si>
  <si>
    <t>Share Buybacks</t>
  </si>
  <si>
    <t>Closing Share Capital</t>
  </si>
  <si>
    <t>Opening Retained Earnings / Reserves</t>
  </si>
  <si>
    <t>Dividends Paid</t>
  </si>
  <si>
    <t>Closing Retained Earnings / Reserves</t>
  </si>
  <si>
    <t>Total Shareholders' Equity (Closing SC + Closing RE)</t>
  </si>
  <si>
    <t xml:space="preserve">CASH FLOW STATEMENT </t>
  </si>
  <si>
    <t>CASH FLOWS FROM OPERATING ACTIVITIES</t>
  </si>
  <si>
    <t>Depreciation &amp; Amortization</t>
  </si>
  <si>
    <t>CASH FLOWS FROM INVESTING ACTIVITIES</t>
  </si>
  <si>
    <t>CASH FLOWS FROM FINANCING ACTIVITIES</t>
  </si>
  <si>
    <t>Dividends Paid to Shareholders</t>
  </si>
  <si>
    <t>CASH MOVEMENT SUMMARY</t>
  </si>
  <si>
    <t>Opening Cash &amp; Cash Equivalents</t>
  </si>
  <si>
    <t>ASSUMPTIONS</t>
  </si>
  <si>
    <t>Revenue Growth Rate (%)</t>
  </si>
  <si>
    <t>COGS (Manufacturing) as % of Revenue</t>
  </si>
  <si>
    <t>SG&amp;A / Operating Expenses as % of Revenue</t>
  </si>
  <si>
    <t>Other Income (₹ Cr)</t>
  </si>
  <si>
    <t>Dividend Payout Ratio (%)</t>
  </si>
  <si>
    <t>Depreciation Rate (% of Opening Gross Block)</t>
  </si>
  <si>
    <t>Capital Expenditure – Gross Block Additions (₹ Cr)</t>
  </si>
  <si>
    <t>Asset Disposals at Cost (₹ Cr)</t>
  </si>
  <si>
    <t>CWIP Closing Balance (₹ Cr)</t>
  </si>
  <si>
    <t>Interest Rate on Total Debt (Annual %)</t>
  </si>
  <si>
    <t>New Debt Raised (₹ Cr)</t>
  </si>
  <si>
    <t>Debt Repayments (₹ Cr)</t>
  </si>
  <si>
    <t>New Equity Issued (₹ Cr)</t>
  </si>
  <si>
    <t>Share Buybacks (₹ Cr)</t>
  </si>
  <si>
    <t>Accounts Receivable Days (on Revenue)</t>
  </si>
  <si>
    <t>Inventory Days (on COGS)</t>
  </si>
  <si>
    <t>Accounts Payable Days (on COGS)</t>
  </si>
  <si>
    <t>Other Current Assets (% of Revenue)</t>
  </si>
  <si>
    <t>Other Current Liabilities (% of Revenue)</t>
  </si>
  <si>
    <t>Investments – Closing Balance (₹ Cr)</t>
  </si>
  <si>
    <t>LT Other Liabilities (Def. Tax, Provisions) (₹ Cr)</t>
  </si>
  <si>
    <t>LT Other Assets (Def. Tax Assets, Intangibles) (₹ Cr)</t>
  </si>
  <si>
    <t>Short-Term Debt – Fixed Portion (₹ Cr)</t>
  </si>
  <si>
    <t>FY2025 Closing Gross Block (₹ Cr)</t>
  </si>
  <si>
    <t>FY2025 Closing Accumulated Depreciation (₹ Cr)</t>
  </si>
  <si>
    <t>PROFITABILITY</t>
  </si>
  <si>
    <t>Industry Avg.</t>
  </si>
  <si>
    <t>Gross Margin</t>
  </si>
  <si>
    <t>Pricing power + cost efficiency</t>
  </si>
  <si>
    <t>EBITDA Margin</t>
  </si>
  <si>
    <t>Core operating profitability</t>
  </si>
  <si>
    <t>EBIT Margin</t>
  </si>
  <si>
    <t>Operating efficiency after depreciation</t>
  </si>
  <si>
    <t>Net Profit Margin</t>
  </si>
  <si>
    <t>Final profit retained</t>
  </si>
  <si>
    <t>ROE</t>
  </si>
  <si>
    <t>Return to shareholders</t>
  </si>
  <si>
    <t>ROA</t>
  </si>
  <si>
    <t>Asset utilization efficiency</t>
  </si>
  <si>
    <t>ROIC</t>
  </si>
  <si>
    <t>Capital efficiency</t>
  </si>
  <si>
    <t>LIQUIDITY</t>
  </si>
  <si>
    <t>Current Ratio</t>
  </si>
  <si>
    <t>Short-term solvency</t>
  </si>
  <si>
    <t>Quick Ratio</t>
  </si>
  <si>
    <t>Liquidity without inventory</t>
  </si>
  <si>
    <t>Cash Ratio</t>
  </si>
  <si>
    <t>Pure cash safety</t>
  </si>
  <si>
    <t>Working Capital Ratio</t>
  </si>
  <si>
    <t>Operating liquidity intensity</t>
  </si>
  <si>
    <t>LEVERAGE</t>
  </si>
  <si>
    <t>Debt/Equity</t>
  </si>
  <si>
    <t>Capital structure risk</t>
  </si>
  <si>
    <t>Debt/EBITDA</t>
  </si>
  <si>
    <t>Debt repayment capacity</t>
  </si>
  <si>
    <t>Net Debt/EBITDA</t>
  </si>
  <si>
    <t>True leverage</t>
  </si>
  <si>
    <t>Interest Coverage</t>
  </si>
  <si>
    <t>Interest servicing ability</t>
  </si>
  <si>
    <t>Debt Ratio</t>
  </si>
  <si>
    <t>Balance sheet leverage</t>
  </si>
  <si>
    <t>EFFICIENCY</t>
  </si>
  <si>
    <t>Asset Turnover</t>
  </si>
  <si>
    <t>Asset productivity</t>
  </si>
  <si>
    <t>Fixed Asset Turnover</t>
  </si>
  <si>
    <t>Asset utilization</t>
  </si>
  <si>
    <t>Inventory Turnover</t>
  </si>
  <si>
    <t>Stock movement speed</t>
  </si>
  <si>
    <t>Receivable Turnover</t>
  </si>
  <si>
    <t>Collection efficiency</t>
  </si>
  <si>
    <t>WC</t>
  </si>
  <si>
    <t>DSO</t>
  </si>
  <si>
    <t>Collection days</t>
  </si>
  <si>
    <t>DIO</t>
  </si>
  <si>
    <t>Inventory holding period</t>
  </si>
  <si>
    <t>DPO</t>
  </si>
  <si>
    <t>Supplier credit period</t>
  </si>
  <si>
    <t>CCC</t>
  </si>
  <si>
    <t>Cash lock-up duration</t>
  </si>
  <si>
    <t>CASH FLOW</t>
  </si>
  <si>
    <t>Operating CF Margin</t>
  </si>
  <si>
    <t>Cash profitability</t>
  </si>
  <si>
    <t>FCF Margin</t>
  </si>
  <si>
    <t>Free cash strength</t>
  </si>
  <si>
    <t>Cash Conversion Ratio</t>
  </si>
  <si>
    <t>Earnings quality</t>
  </si>
  <si>
    <t>Capex Ratio</t>
  </si>
  <si>
    <t>Reinvestment intensity</t>
  </si>
  <si>
    <t>Ratio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</si>
</sst>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\(0.0%\);\-"/>
    <numFmt numFmtId="165" formatCode="#,##0;\(#,##0\);\-"/>
    <numFmt numFmtId="166" formatCode="0;0;\-"/>
    <numFmt numFmtId="167" formatCode="_-* #,##0_-;\(#,##0\)_-;_-* &quot;-&quot;_-;_-@"/>
  </numFmts>
  <fonts count="37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b/>
      <sz val="9"/>
      <color rgb="FF1F4E7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</font>
    <font>
      <b/>
      <u/>
      <sz val="14"/>
      <name val="Calibri"/>
      <family val="2"/>
    </font>
    <font>
      <i/>
      <sz val="12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9"/>
      <color rgb="FF1F4E79"/>
      <name val="Calibri"/>
      <family val="2"/>
    </font>
    <font>
      <sz val="10"/>
      <color rgb="FF000000"/>
      <name val="Calibri"/>
      <family val="2"/>
    </font>
    <font>
      <sz val="9"/>
      <color rgb="FF0000FF"/>
      <name val="Calibri"/>
      <family val="2"/>
    </font>
    <font>
      <sz val="9"/>
      <color rgb="FF008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9"/>
      <color rgb="FF808080"/>
      <name val="Calibri"/>
      <family val="2"/>
    </font>
    <font>
      <b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Segoe UI"/>
      <family val="2"/>
    </font>
    <font>
      <sz val="10"/>
      <name val="Segoe UI"/>
      <family val="2"/>
    </font>
    <font>
      <sz val="10"/>
      <color theme="1"/>
      <name val="Calibri 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Border="0" applyAlignment="0" applyProtection="0"/>
  </cellStyleXfs>
  <cellXfs count="9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4" borderId="0" xfId="0" applyFont="1" applyFill="1"/>
    <xf numFmtId="0" fontId="5" fillId="4" borderId="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0" fontId="10" fillId="3" borderId="0" xfId="0" applyFont="1" applyFill="1" applyAlignment="1">
      <alignment vertical="center"/>
    </xf>
    <xf numFmtId="165" fontId="8" fillId="3" borderId="0" xfId="0" applyNumberFormat="1" applyFont="1" applyFill="1" applyAlignment="1">
      <alignment horizontal="right" vertical="center"/>
    </xf>
    <xf numFmtId="165" fontId="9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164" fontId="8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49" fontId="12" fillId="5" borderId="0" xfId="0" applyNumberFormat="1" applyFont="1" applyFill="1" applyAlignment="1">
      <alignment vertical="center"/>
    </xf>
    <xf numFmtId="0" fontId="14" fillId="0" borderId="0" xfId="0" applyFont="1" applyAlignment="1">
      <alignment horizontal="left" vertical="center"/>
    </xf>
    <xf numFmtId="0" fontId="16" fillId="0" borderId="0" xfId="0" applyFont="1"/>
    <xf numFmtId="49" fontId="13" fillId="0" borderId="3" xfId="0" applyNumberFormat="1" applyFont="1" applyBorder="1" applyAlignment="1">
      <alignment vertical="center"/>
    </xf>
    <xf numFmtId="49" fontId="12" fillId="0" borderId="3" xfId="0" applyNumberFormat="1" applyFont="1" applyBorder="1" applyAlignment="1">
      <alignment vertical="center"/>
    </xf>
    <xf numFmtId="0" fontId="15" fillId="3" borderId="2" xfId="0" applyFont="1" applyFill="1" applyBorder="1" applyAlignment="1">
      <alignment horizontal="left" vertical="center"/>
    </xf>
    <xf numFmtId="165" fontId="8" fillId="3" borderId="2" xfId="0" applyNumberFormat="1" applyFont="1" applyFill="1" applyBorder="1" applyAlignment="1">
      <alignment horizontal="right" vertical="center"/>
    </xf>
    <xf numFmtId="165" fontId="9" fillId="3" borderId="2" xfId="0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165" fontId="8" fillId="3" borderId="5" xfId="0" applyNumberFormat="1" applyFont="1" applyFill="1" applyBorder="1" applyAlignment="1">
      <alignment horizontal="right" vertical="center"/>
    </xf>
    <xf numFmtId="165" fontId="9" fillId="3" borderId="5" xfId="0" applyNumberFormat="1" applyFont="1" applyFill="1" applyBorder="1" applyAlignment="1">
      <alignment horizontal="right" vertical="center"/>
    </xf>
    <xf numFmtId="165" fontId="9" fillId="3" borderId="6" xfId="0" applyNumberFormat="1" applyFont="1" applyFill="1" applyBorder="1" applyAlignment="1">
      <alignment horizontal="right" vertical="center"/>
    </xf>
    <xf numFmtId="49" fontId="12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165" fontId="17" fillId="0" borderId="0" xfId="0" applyNumberFormat="1" applyFont="1" applyAlignment="1">
      <alignment horizontal="right" vertical="center"/>
    </xf>
    <xf numFmtId="165" fontId="11" fillId="3" borderId="2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2" fillId="4" borderId="0" xfId="0" applyFont="1" applyFill="1"/>
    <xf numFmtId="0" fontId="22" fillId="4" borderId="1" xfId="0" applyFont="1" applyFill="1" applyBorder="1" applyAlignment="1">
      <alignment horizontal="center"/>
    </xf>
    <xf numFmtId="0" fontId="22" fillId="4" borderId="0" xfId="0" applyFont="1" applyFill="1" applyAlignment="1">
      <alignment horizontal="center"/>
    </xf>
    <xf numFmtId="0" fontId="24" fillId="0" borderId="0" xfId="0" applyFont="1" applyAlignment="1">
      <alignment horizontal="left" vertical="center"/>
    </xf>
    <xf numFmtId="165" fontId="25" fillId="0" borderId="0" xfId="0" applyNumberFormat="1" applyFont="1" applyAlignment="1">
      <alignment horizontal="right" vertical="center"/>
    </xf>
    <xf numFmtId="165" fontId="26" fillId="0" borderId="0" xfId="0" applyNumberFormat="1" applyFont="1" applyAlignment="1">
      <alignment horizontal="right" vertical="center"/>
    </xf>
    <xf numFmtId="0" fontId="18" fillId="0" borderId="0" xfId="0" quotePrefix="1" applyFont="1" applyAlignment="1">
      <alignment horizontal="right"/>
    </xf>
    <xf numFmtId="0" fontId="27" fillId="0" borderId="0" xfId="0" applyFont="1" applyAlignment="1">
      <alignment horizontal="left" vertical="center"/>
    </xf>
    <xf numFmtId="0" fontId="27" fillId="3" borderId="4" xfId="0" applyFont="1" applyFill="1" applyBorder="1" applyAlignment="1">
      <alignment horizontal="left" vertical="center"/>
    </xf>
    <xf numFmtId="165" fontId="25" fillId="3" borderId="5" xfId="0" applyNumberFormat="1" applyFont="1" applyFill="1" applyBorder="1" applyAlignment="1">
      <alignment horizontal="right" vertical="center"/>
    </xf>
    <xf numFmtId="165" fontId="28" fillId="3" borderId="5" xfId="0" applyNumberFormat="1" applyFont="1" applyFill="1" applyBorder="1" applyAlignment="1">
      <alignment horizontal="right" vertical="center"/>
    </xf>
    <xf numFmtId="165" fontId="28" fillId="3" borderId="6" xfId="0" applyNumberFormat="1" applyFont="1" applyFill="1" applyBorder="1" applyAlignment="1">
      <alignment horizontal="right" vertical="center"/>
    </xf>
    <xf numFmtId="165" fontId="28" fillId="0" borderId="0" xfId="0" applyNumberFormat="1" applyFon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165" fontId="25" fillId="3" borderId="0" xfId="0" applyNumberFormat="1" applyFont="1" applyFill="1" applyAlignment="1">
      <alignment horizontal="right" vertical="center"/>
    </xf>
    <xf numFmtId="165" fontId="28" fillId="3" borderId="0" xfId="0" applyNumberFormat="1" applyFont="1" applyFill="1" applyAlignment="1">
      <alignment horizontal="right" vertical="center"/>
    </xf>
    <xf numFmtId="49" fontId="29" fillId="5" borderId="0" xfId="0" applyNumberFormat="1" applyFont="1" applyFill="1" applyAlignment="1">
      <alignment vertical="center"/>
    </xf>
    <xf numFmtId="0" fontId="24" fillId="6" borderId="4" xfId="0" applyFont="1" applyFill="1" applyBorder="1" applyAlignment="1">
      <alignment horizontal="left" vertical="center"/>
    </xf>
    <xf numFmtId="165" fontId="25" fillId="6" borderId="5" xfId="0" applyNumberFormat="1" applyFont="1" applyFill="1" applyBorder="1" applyAlignment="1">
      <alignment horizontal="right" vertical="center"/>
    </xf>
    <xf numFmtId="165" fontId="28" fillId="6" borderId="5" xfId="0" applyNumberFormat="1" applyFont="1" applyFill="1" applyBorder="1" applyAlignment="1">
      <alignment horizontal="right" vertical="center"/>
    </xf>
    <xf numFmtId="165" fontId="28" fillId="6" borderId="6" xfId="0" applyNumberFormat="1" applyFont="1" applyFill="1" applyBorder="1" applyAlignment="1">
      <alignment horizontal="right" vertical="center"/>
    </xf>
    <xf numFmtId="164" fontId="26" fillId="0" borderId="0" xfId="0" applyNumberFormat="1" applyFont="1" applyAlignment="1">
      <alignment horizontal="right" vertical="center"/>
    </xf>
    <xf numFmtId="0" fontId="18" fillId="6" borderId="5" xfId="0" applyFont="1" applyFill="1" applyBorder="1"/>
    <xf numFmtId="49" fontId="29" fillId="0" borderId="0" xfId="0" applyNumberFormat="1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/>
    <xf numFmtId="0" fontId="22" fillId="0" borderId="0" xfId="0" applyFont="1"/>
    <xf numFmtId="0" fontId="22" fillId="0" borderId="0" xfId="0" applyFont="1" applyAlignment="1">
      <alignment horizontal="center"/>
    </xf>
    <xf numFmtId="49" fontId="23" fillId="5" borderId="0" xfId="0" applyNumberFormat="1" applyFont="1" applyFill="1" applyAlignment="1">
      <alignment vertical="center"/>
    </xf>
    <xf numFmtId="0" fontId="30" fillId="0" borderId="0" xfId="0" applyFont="1" applyAlignment="1">
      <alignment horizontal="left" vertical="center"/>
    </xf>
    <xf numFmtId="49" fontId="31" fillId="0" borderId="0" xfId="0" applyNumberFormat="1" applyFont="1" applyAlignment="1">
      <alignment horizontal="center" vertical="center"/>
    </xf>
    <xf numFmtId="164" fontId="25" fillId="0" borderId="0" xfId="0" applyNumberFormat="1" applyFont="1" applyAlignment="1">
      <alignment horizontal="right" vertical="center"/>
    </xf>
    <xf numFmtId="166" fontId="25" fillId="0" borderId="0" xfId="0" applyNumberFormat="1" applyFont="1" applyAlignment="1">
      <alignment horizontal="right" vertical="center"/>
    </xf>
    <xf numFmtId="0" fontId="32" fillId="8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3" fillId="0" borderId="0" xfId="0" applyFont="1" applyAlignment="1">
      <alignment vertical="center"/>
    </xf>
    <xf numFmtId="0" fontId="34" fillId="7" borderId="7" xfId="0" applyFont="1" applyFill="1" applyBorder="1" applyAlignment="1">
      <alignment horizontal="left" vertical="center"/>
    </xf>
    <xf numFmtId="10" fontId="35" fillId="0" borderId="0" xfId="1" applyNumberFormat="1" applyFont="1" applyAlignment="1">
      <alignment horizontal="center" vertical="center"/>
    </xf>
    <xf numFmtId="9" fontId="34" fillId="7" borderId="7" xfId="0" applyNumberFormat="1" applyFont="1" applyFill="1" applyBorder="1" applyAlignment="1">
      <alignment horizontal="right" vertical="center"/>
    </xf>
    <xf numFmtId="10" fontId="35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167" fontId="36" fillId="0" borderId="0" xfId="0" applyNumberFormat="1" applyFont="1"/>
    <xf numFmtId="9" fontId="34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right" vertical="center"/>
    </xf>
    <xf numFmtId="49" fontId="23" fillId="2" borderId="0" xfId="0" applyNumberFormat="1" applyFont="1" applyFill="1" applyAlignment="1">
      <alignment horizontal="left" vertical="center"/>
    </xf>
  </cellXfs>
  <cellStyles count="2">
    <cellStyle name="Normal" xfId="0" builtinId="0"/>
    <cellStyle name="Percent 2" xfId="1" xr:uid="{3E6067D2-FD18-4028-9826-8E242D15D62A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2F2F2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C55A11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59625</xdr:colOff>
      <xdr:row>34</xdr:row>
      <xdr:rowOff>172059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12B27-BAFD-40B8-8356-80B0C1017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38025" cy="6389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FD53-207E-4E94-B8D0-19D275460343}">
  <dimension ref="A1"/>
  <sheetViews>
    <sheetView showGridLines="0" zoomScale="70" zoomScaleNormal="70" workbookViewId="0">
      <selection activeCell="AF12" sqref="AF12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H41"/>
  <sheetViews>
    <sheetView showGridLines="0" tabSelected="1" zoomScaleNormal="100" workbookViewId="0">
      <pane ySplit="3" topLeftCell="A12" activePane="bottomLeft" state="frozen"/>
      <selection pane="bottomLeft" activeCell="K10" sqref="K10"/>
    </sheetView>
  </sheetViews>
  <sheetFormatPr defaultColWidth="8.6640625" defaultRowHeight="14.4"/>
  <cols>
    <col min="1" max="1" width="8.6640625" style="44"/>
    <col min="2" max="2" width="50" style="44" customWidth="1"/>
    <col min="3" max="3" width="17" style="44" customWidth="1"/>
    <col min="4" max="8" width="14" style="44" customWidth="1"/>
    <col min="9" max="16384" width="8.6640625" style="44"/>
  </cols>
  <sheetData>
    <row r="1" spans="1:8" ht="25.5" customHeight="1">
      <c r="A1" s="38"/>
      <c r="B1" s="39" t="s">
        <v>133</v>
      </c>
      <c r="C1" s="40"/>
      <c r="D1" s="41"/>
      <c r="E1" s="42"/>
      <c r="F1" s="43" t="s">
        <v>19</v>
      </c>
      <c r="G1" s="42"/>
      <c r="H1" s="42"/>
    </row>
    <row r="2" spans="1:8" ht="13.5" customHeight="1">
      <c r="A2" s="38"/>
      <c r="C2" s="45"/>
      <c r="D2" s="42"/>
      <c r="E2" s="46"/>
      <c r="F2" s="46"/>
      <c r="G2" s="46"/>
      <c r="H2" s="46"/>
    </row>
    <row r="3" spans="1:8" ht="18" customHeight="1">
      <c r="A3" s="38"/>
      <c r="B3" s="47" t="s">
        <v>55</v>
      </c>
      <c r="C3" s="48">
        <v>2025</v>
      </c>
      <c r="D3" s="49">
        <f>C3+1</f>
        <v>2026</v>
      </c>
      <c r="E3" s="49">
        <f t="shared" ref="E3:H3" si="0">D3+1</f>
        <v>2027</v>
      </c>
      <c r="F3" s="49">
        <f t="shared" si="0"/>
        <v>2028</v>
      </c>
      <c r="G3" s="49">
        <f t="shared" si="0"/>
        <v>2029</v>
      </c>
      <c r="H3" s="49">
        <f t="shared" si="0"/>
        <v>2030</v>
      </c>
    </row>
    <row r="4" spans="1:8" ht="18" customHeight="1">
      <c r="A4" s="38"/>
      <c r="B4" s="76"/>
      <c r="C4" s="77"/>
      <c r="D4" s="77"/>
      <c r="E4" s="77"/>
      <c r="F4" s="77"/>
      <c r="G4" s="77"/>
      <c r="H4" s="77"/>
    </row>
    <row r="5" spans="1:8" ht="15.75" customHeight="1">
      <c r="B5" s="64" t="s">
        <v>0</v>
      </c>
      <c r="C5" s="78"/>
      <c r="D5" s="78"/>
      <c r="E5" s="78"/>
      <c r="F5" s="78"/>
      <c r="G5" s="78"/>
      <c r="H5" s="78"/>
    </row>
    <row r="6" spans="1:8" ht="15" customHeight="1">
      <c r="B6" s="79" t="s">
        <v>134</v>
      </c>
      <c r="C6" s="80"/>
      <c r="D6" s="81">
        <v>0.12</v>
      </c>
      <c r="E6" s="81">
        <v>0.11</v>
      </c>
      <c r="F6" s="81">
        <v>0.1</v>
      </c>
      <c r="G6" s="81">
        <v>0.1</v>
      </c>
      <c r="H6" s="81">
        <v>0.09</v>
      </c>
    </row>
    <row r="7" spans="1:8" ht="15" customHeight="1">
      <c r="B7" s="79" t="s">
        <v>135</v>
      </c>
      <c r="C7" s="81">
        <v>0.62</v>
      </c>
      <c r="D7" s="81">
        <v>0.62</v>
      </c>
      <c r="E7" s="81">
        <v>0.61499999999999999</v>
      </c>
      <c r="F7" s="81">
        <v>0.61</v>
      </c>
      <c r="G7" s="81">
        <v>0.60499999999999998</v>
      </c>
      <c r="H7" s="81">
        <v>0.60499999999999998</v>
      </c>
    </row>
    <row r="8" spans="1:8" ht="15" customHeight="1">
      <c r="B8" s="79" t="s">
        <v>136</v>
      </c>
      <c r="C8" s="81">
        <v>0.21</v>
      </c>
      <c r="D8" s="81">
        <v>0.20499999999999999</v>
      </c>
      <c r="E8" s="81">
        <v>0.2</v>
      </c>
      <c r="F8" s="81">
        <v>0.19500000000000001</v>
      </c>
      <c r="G8" s="81">
        <v>0.2</v>
      </c>
      <c r="H8" s="81">
        <v>0.20499999999999999</v>
      </c>
    </row>
    <row r="9" spans="1:8" ht="15" customHeight="1">
      <c r="B9" s="79" t="s">
        <v>137</v>
      </c>
      <c r="C9" s="51">
        <v>397</v>
      </c>
      <c r="D9" s="51">
        <v>420</v>
      </c>
      <c r="E9" s="51">
        <v>440</v>
      </c>
      <c r="F9" s="51">
        <v>460</v>
      </c>
      <c r="G9" s="51">
        <v>480</v>
      </c>
      <c r="H9" s="51">
        <v>500</v>
      </c>
    </row>
    <row r="10" spans="1:8" ht="15" customHeight="1">
      <c r="B10" s="79" t="s">
        <v>25</v>
      </c>
      <c r="C10" s="81">
        <v>0.2</v>
      </c>
      <c r="D10" s="81">
        <v>0.25</v>
      </c>
      <c r="E10" s="81">
        <v>0.25</v>
      </c>
      <c r="F10" s="81">
        <v>0.25</v>
      </c>
      <c r="G10" s="81">
        <v>0.25</v>
      </c>
      <c r="H10" s="81">
        <v>0.25</v>
      </c>
    </row>
    <row r="11" spans="1:8" ht="15" customHeight="1">
      <c r="B11" s="79" t="s">
        <v>138</v>
      </c>
      <c r="C11" s="81">
        <v>0.38</v>
      </c>
      <c r="D11" s="81">
        <v>0.38</v>
      </c>
      <c r="E11" s="81">
        <v>0.35</v>
      </c>
      <c r="F11" s="81">
        <v>0.33</v>
      </c>
      <c r="G11" s="81">
        <v>0.3</v>
      </c>
      <c r="H11" s="81">
        <v>0.3</v>
      </c>
    </row>
    <row r="12" spans="1:8" ht="15" customHeight="1">
      <c r="B12" s="79"/>
      <c r="C12" s="81"/>
      <c r="D12" s="81"/>
      <c r="E12" s="81"/>
      <c r="F12" s="81"/>
      <c r="G12" s="81"/>
      <c r="H12" s="81"/>
    </row>
    <row r="13" spans="1:8" ht="15.75" customHeight="1">
      <c r="B13" s="64" t="s">
        <v>1</v>
      </c>
      <c r="C13" s="78"/>
      <c r="D13" s="78"/>
      <c r="E13" s="78"/>
      <c r="F13" s="78"/>
      <c r="G13" s="78"/>
      <c r="H13" s="78"/>
    </row>
    <row r="14" spans="1:8" ht="15" customHeight="1">
      <c r="B14" s="79" t="s">
        <v>139</v>
      </c>
      <c r="C14" s="80"/>
      <c r="D14" s="81">
        <v>0.04</v>
      </c>
      <c r="E14" s="81">
        <v>4.2000000000000003E-2</v>
      </c>
      <c r="F14" s="81">
        <v>4.2999999999999997E-2</v>
      </c>
      <c r="G14" s="81">
        <v>4.4999999999999998E-2</v>
      </c>
      <c r="H14" s="81">
        <v>4.4999999999999998E-2</v>
      </c>
    </row>
    <row r="15" spans="1:8" ht="15" customHeight="1">
      <c r="B15" s="79" t="s">
        <v>140</v>
      </c>
      <c r="C15" s="80"/>
      <c r="D15" s="51">
        <v>12000</v>
      </c>
      <c r="E15" s="51">
        <v>12000</v>
      </c>
      <c r="F15" s="51">
        <v>10000</v>
      </c>
      <c r="G15" s="51">
        <v>10000</v>
      </c>
      <c r="H15" s="51">
        <v>8000</v>
      </c>
    </row>
    <row r="16" spans="1:8" ht="15" customHeight="1">
      <c r="B16" s="79" t="s">
        <v>141</v>
      </c>
      <c r="C16" s="80"/>
      <c r="D16" s="51">
        <v>0</v>
      </c>
      <c r="E16" s="51">
        <v>0</v>
      </c>
      <c r="F16" s="51">
        <v>500</v>
      </c>
      <c r="G16" s="51">
        <v>500</v>
      </c>
      <c r="H16" s="51">
        <v>500</v>
      </c>
    </row>
    <row r="17" spans="2:8" ht="15" customHeight="1">
      <c r="B17" s="79" t="s">
        <v>142</v>
      </c>
      <c r="C17" s="51">
        <v>6234</v>
      </c>
      <c r="D17" s="51">
        <v>7000</v>
      </c>
      <c r="E17" s="51">
        <v>7000</v>
      </c>
      <c r="F17" s="51">
        <v>6000</v>
      </c>
      <c r="G17" s="51">
        <v>5000</v>
      </c>
      <c r="H17" s="51">
        <v>4000</v>
      </c>
    </row>
    <row r="18" spans="2:8" ht="15" customHeight="1">
      <c r="B18" s="79"/>
      <c r="C18" s="51"/>
      <c r="D18" s="51"/>
      <c r="E18" s="51"/>
      <c r="F18" s="51"/>
      <c r="G18" s="51"/>
      <c r="H18" s="51"/>
    </row>
    <row r="19" spans="2:8" ht="15.75" customHeight="1">
      <c r="B19" s="64" t="s">
        <v>2</v>
      </c>
      <c r="C19" s="78"/>
      <c r="D19" s="78"/>
      <c r="E19" s="78"/>
      <c r="F19" s="78"/>
      <c r="G19" s="78"/>
      <c r="H19" s="78"/>
    </row>
    <row r="20" spans="2:8" ht="15" customHeight="1">
      <c r="B20" s="79" t="s">
        <v>143</v>
      </c>
      <c r="C20" s="80"/>
      <c r="D20" s="81">
        <v>7.4999999999999997E-2</v>
      </c>
      <c r="E20" s="81">
        <v>7.4999999999999997E-2</v>
      </c>
      <c r="F20" s="81">
        <v>7.4999999999999997E-2</v>
      </c>
      <c r="G20" s="81">
        <v>7.4999999999999997E-2</v>
      </c>
      <c r="H20" s="81">
        <v>7.4999999999999997E-2</v>
      </c>
    </row>
    <row r="21" spans="2:8" ht="15" customHeight="1">
      <c r="B21" s="79" t="s">
        <v>144</v>
      </c>
      <c r="C21" s="80"/>
      <c r="D21" s="51">
        <v>5000</v>
      </c>
      <c r="E21" s="51">
        <v>3000</v>
      </c>
      <c r="F21" s="51">
        <v>0</v>
      </c>
      <c r="G21" s="51">
        <v>0</v>
      </c>
      <c r="H21" s="51">
        <v>0</v>
      </c>
    </row>
    <row r="22" spans="2:8" ht="15" customHeight="1">
      <c r="B22" s="79" t="s">
        <v>145</v>
      </c>
      <c r="C22" s="80"/>
      <c r="D22" s="51">
        <v>2000</v>
      </c>
      <c r="E22" s="51">
        <v>3000</v>
      </c>
      <c r="F22" s="51">
        <v>3000</v>
      </c>
      <c r="G22" s="51">
        <v>3000</v>
      </c>
      <c r="H22" s="51">
        <v>3000</v>
      </c>
    </row>
    <row r="23" spans="2:8" ht="15" customHeight="1">
      <c r="B23" s="79" t="s">
        <v>146</v>
      </c>
      <c r="C23" s="80"/>
      <c r="D23" s="51">
        <v>0</v>
      </c>
      <c r="E23" s="51">
        <v>0</v>
      </c>
      <c r="F23" s="51">
        <v>0</v>
      </c>
      <c r="G23" s="51">
        <v>0</v>
      </c>
      <c r="H23" s="51">
        <v>0</v>
      </c>
    </row>
    <row r="24" spans="2:8" ht="15" customHeight="1">
      <c r="B24" s="79" t="s">
        <v>147</v>
      </c>
      <c r="C24" s="80"/>
      <c r="D24" s="51">
        <v>0</v>
      </c>
      <c r="E24" s="51">
        <v>0</v>
      </c>
      <c r="F24" s="51">
        <v>0</v>
      </c>
      <c r="G24" s="51">
        <v>0</v>
      </c>
      <c r="H24" s="51">
        <v>0</v>
      </c>
    </row>
    <row r="25" spans="2:8" ht="15" customHeight="1">
      <c r="B25" s="79"/>
      <c r="C25" s="80"/>
      <c r="D25" s="51"/>
      <c r="E25" s="51"/>
      <c r="F25" s="51"/>
      <c r="G25" s="51"/>
      <c r="H25" s="51"/>
    </row>
    <row r="26" spans="2:8" ht="15.75" customHeight="1">
      <c r="B26" s="64" t="s">
        <v>3</v>
      </c>
      <c r="C26" s="78"/>
      <c r="D26" s="78"/>
      <c r="E26" s="78"/>
      <c r="F26" s="78"/>
      <c r="G26" s="78"/>
      <c r="H26" s="78"/>
    </row>
    <row r="27" spans="2:8" ht="15" customHeight="1">
      <c r="B27" s="79" t="s">
        <v>148</v>
      </c>
      <c r="C27" s="82">
        <v>28</v>
      </c>
      <c r="D27" s="82">
        <v>27</v>
      </c>
      <c r="E27" s="82">
        <v>26</v>
      </c>
      <c r="F27" s="82">
        <v>25</v>
      </c>
      <c r="G27" s="82">
        <v>25</v>
      </c>
      <c r="H27" s="82">
        <v>25</v>
      </c>
    </row>
    <row r="28" spans="2:8" ht="15" customHeight="1">
      <c r="B28" s="79" t="s">
        <v>149</v>
      </c>
      <c r="C28" s="82">
        <v>45</v>
      </c>
      <c r="D28" s="82">
        <v>45</v>
      </c>
      <c r="E28" s="82">
        <v>43</v>
      </c>
      <c r="F28" s="82">
        <v>42</v>
      </c>
      <c r="G28" s="82">
        <v>42</v>
      </c>
      <c r="H28" s="82">
        <v>42</v>
      </c>
    </row>
    <row r="29" spans="2:8" ht="15" customHeight="1">
      <c r="B29" s="79" t="s">
        <v>150</v>
      </c>
      <c r="C29" s="82">
        <v>58</v>
      </c>
      <c r="D29" s="82">
        <v>57</v>
      </c>
      <c r="E29" s="82">
        <v>55</v>
      </c>
      <c r="F29" s="82">
        <v>55</v>
      </c>
      <c r="G29" s="82">
        <v>55</v>
      </c>
      <c r="H29" s="82">
        <v>55</v>
      </c>
    </row>
    <row r="30" spans="2:8" ht="15" customHeight="1">
      <c r="B30" s="79" t="s">
        <v>151</v>
      </c>
      <c r="C30" s="81">
        <v>6.6000000000000003E-2</v>
      </c>
      <c r="D30" s="81">
        <v>6.5000000000000002E-2</v>
      </c>
      <c r="E30" s="81">
        <v>6.3E-2</v>
      </c>
      <c r="F30" s="81">
        <v>0.06</v>
      </c>
      <c r="G30" s="81">
        <v>0.06</v>
      </c>
      <c r="H30" s="81">
        <v>0.06</v>
      </c>
    </row>
    <row r="31" spans="2:8" ht="15" customHeight="1">
      <c r="B31" s="79" t="s">
        <v>152</v>
      </c>
      <c r="C31" s="81">
        <v>0.105</v>
      </c>
      <c r="D31" s="81">
        <v>0.105</v>
      </c>
      <c r="E31" s="81">
        <v>0.10299999999999999</v>
      </c>
      <c r="F31" s="81">
        <v>0.1</v>
      </c>
      <c r="G31" s="81">
        <v>0.1</v>
      </c>
      <c r="H31" s="81">
        <v>0.1</v>
      </c>
    </row>
    <row r="32" spans="2:8" ht="15" customHeight="1">
      <c r="B32" s="79"/>
      <c r="C32" s="81"/>
      <c r="D32" s="81"/>
      <c r="E32" s="81"/>
      <c r="F32" s="81"/>
      <c r="G32" s="81"/>
      <c r="H32" s="81"/>
    </row>
    <row r="33" spans="2:8" ht="15.75" customHeight="1">
      <c r="B33" s="64" t="s">
        <v>4</v>
      </c>
      <c r="C33" s="78"/>
      <c r="D33" s="78"/>
      <c r="E33" s="78"/>
      <c r="F33" s="78"/>
      <c r="G33" s="78"/>
      <c r="H33" s="78"/>
    </row>
    <row r="34" spans="2:8" ht="15" customHeight="1">
      <c r="B34" s="79" t="s">
        <v>153</v>
      </c>
      <c r="C34" s="51">
        <v>5156</v>
      </c>
      <c r="D34" s="51">
        <v>5500</v>
      </c>
      <c r="E34" s="51">
        <v>5500</v>
      </c>
      <c r="F34" s="51">
        <v>5000</v>
      </c>
      <c r="G34" s="51">
        <v>5000</v>
      </c>
      <c r="H34" s="51">
        <v>5000</v>
      </c>
    </row>
    <row r="35" spans="2:8" ht="15" customHeight="1">
      <c r="B35" s="79" t="s">
        <v>154</v>
      </c>
      <c r="C35" s="51">
        <v>23366</v>
      </c>
      <c r="D35" s="51">
        <v>23366</v>
      </c>
      <c r="E35" s="51">
        <v>23366</v>
      </c>
      <c r="F35" s="51">
        <v>23366</v>
      </c>
      <c r="G35" s="51">
        <v>23366</v>
      </c>
      <c r="H35" s="51">
        <v>23366</v>
      </c>
    </row>
    <row r="36" spans="2:8" ht="15" customHeight="1">
      <c r="B36" s="79" t="s">
        <v>155</v>
      </c>
      <c r="C36" s="51">
        <v>8529</v>
      </c>
      <c r="D36" s="51">
        <v>8529</v>
      </c>
      <c r="E36" s="51">
        <v>8529</v>
      </c>
      <c r="F36" s="51">
        <v>8529</v>
      </c>
      <c r="G36" s="51">
        <v>8529</v>
      </c>
      <c r="H36" s="51">
        <v>8529</v>
      </c>
    </row>
    <row r="37" spans="2:8" ht="15" customHeight="1">
      <c r="B37" s="79" t="s">
        <v>156</v>
      </c>
      <c r="C37" s="51">
        <v>4102</v>
      </c>
      <c r="D37" s="51">
        <v>4102</v>
      </c>
      <c r="E37" s="51">
        <v>4102</v>
      </c>
      <c r="F37" s="51">
        <v>4102</v>
      </c>
      <c r="G37" s="51">
        <v>4102</v>
      </c>
      <c r="H37" s="51">
        <v>4102</v>
      </c>
    </row>
    <row r="38" spans="2:8" ht="15" customHeight="1">
      <c r="B38" s="79"/>
      <c r="C38" s="51"/>
      <c r="D38" s="51"/>
      <c r="E38" s="51"/>
      <c r="F38" s="51"/>
      <c r="G38" s="51"/>
      <c r="H38" s="51"/>
    </row>
    <row r="39" spans="2:8" ht="15.75" customHeight="1">
      <c r="B39" s="64" t="s">
        <v>5</v>
      </c>
      <c r="C39" s="78"/>
      <c r="D39" s="78"/>
      <c r="E39" s="78"/>
      <c r="F39" s="78"/>
      <c r="G39" s="78"/>
      <c r="H39" s="78"/>
    </row>
    <row r="40" spans="2:8" ht="15" customHeight="1">
      <c r="B40" s="79" t="s">
        <v>157</v>
      </c>
      <c r="C40" s="51">
        <v>115000</v>
      </c>
    </row>
    <row r="41" spans="2:8" ht="15" customHeight="1">
      <c r="B41" s="79" t="s">
        <v>158</v>
      </c>
      <c r="C41" s="51">
        <v>20436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B1:I19"/>
  <sheetViews>
    <sheetView showGridLines="0" zoomScale="130" zoomScaleNormal="130" workbookViewId="0">
      <pane ySplit="3" topLeftCell="A15" activePane="bottomLeft" state="frozen"/>
      <selection sqref="A1:XFD3"/>
      <selection pane="bottomLeft" sqref="A1:XFD3"/>
    </sheetView>
  </sheetViews>
  <sheetFormatPr defaultColWidth="8.6640625" defaultRowHeight="14.4"/>
  <cols>
    <col min="1" max="1" width="8.6640625" style="72"/>
    <col min="2" max="2" width="45" style="72" bestFit="1" customWidth="1"/>
    <col min="3" max="3" width="16" style="72" customWidth="1"/>
    <col min="4" max="8" width="13" style="72" customWidth="1"/>
    <col min="9" max="16384" width="8.6640625" style="72"/>
  </cols>
  <sheetData>
    <row r="1" spans="2:9" s="1" customFormat="1" ht="18">
      <c r="B1" s="9" t="s">
        <v>54</v>
      </c>
      <c r="C1" s="10"/>
      <c r="D1" s="2"/>
      <c r="E1" s="3"/>
      <c r="F1" s="8" t="s">
        <v>19</v>
      </c>
      <c r="G1" s="3"/>
      <c r="H1" s="3"/>
      <c r="I1" s="4"/>
    </row>
    <row r="2" spans="2:9" ht="15.6">
      <c r="C2" s="73"/>
      <c r="D2" s="3"/>
      <c r="E2" s="74"/>
      <c r="F2" s="74"/>
      <c r="G2" s="74"/>
      <c r="H2" s="74"/>
      <c r="I2" s="73"/>
    </row>
    <row r="3" spans="2:9" s="1" customFormat="1" ht="15.6">
      <c r="B3" s="5" t="s">
        <v>55</v>
      </c>
      <c r="C3" s="6">
        <v>2025</v>
      </c>
      <c r="D3" s="7">
        <f>C3+1</f>
        <v>2026</v>
      </c>
      <c r="E3" s="7">
        <f t="shared" ref="E3:H3" si="0">D3+1</f>
        <v>2027</v>
      </c>
      <c r="F3" s="7">
        <f t="shared" si="0"/>
        <v>2028</v>
      </c>
      <c r="G3" s="7">
        <f t="shared" si="0"/>
        <v>2029</v>
      </c>
      <c r="H3" s="7">
        <f t="shared" si="0"/>
        <v>2030</v>
      </c>
      <c r="I3" s="4"/>
    </row>
    <row r="5" spans="2:9" ht="15" customHeight="1">
      <c r="B5" s="11" t="s">
        <v>56</v>
      </c>
      <c r="C5" s="12">
        <v>75955</v>
      </c>
      <c r="D5" s="13">
        <f>'Income Statement'!C5*(1+Assumptions!D6)</f>
        <v>85069.6</v>
      </c>
      <c r="E5" s="13">
        <f>'Income Statement'!D5*(1+Assumptions!E6)</f>
        <v>94427.256000000008</v>
      </c>
      <c r="F5" s="13">
        <f>'Income Statement'!E5*(1+Assumptions!F6)</f>
        <v>103869.98160000001</v>
      </c>
      <c r="G5" s="13">
        <f>'Income Statement'!F5*(1+Assumptions!G6)</f>
        <v>114256.97976000003</v>
      </c>
      <c r="H5" s="13">
        <f>'Income Statement'!G5*(1+Assumptions!H6)</f>
        <v>124540.10793840005</v>
      </c>
    </row>
    <row r="6" spans="2:9" ht="15" customHeight="1">
      <c r="B6" s="11" t="s">
        <v>57</v>
      </c>
      <c r="C6" s="12">
        <v>47092</v>
      </c>
      <c r="D6" s="13">
        <f>'Income Statement'!D5*Assumptions!D7</f>
        <v>52743.152000000002</v>
      </c>
      <c r="E6" s="13">
        <f>'Income Statement'!E5*Assumptions!E7</f>
        <v>58072.762440000006</v>
      </c>
      <c r="F6" s="13">
        <f>'Income Statement'!F5*Assumptions!F7</f>
        <v>63360.68877600001</v>
      </c>
      <c r="G6" s="13">
        <f>'Income Statement'!G5*Assumptions!G7</f>
        <v>69125.472754800023</v>
      </c>
      <c r="H6" s="13">
        <f>'Income Statement'!H5*Assumptions!H7</f>
        <v>75346.765302732034</v>
      </c>
    </row>
    <row r="7" spans="2:9" ht="15" customHeight="1">
      <c r="B7" s="14" t="s">
        <v>20</v>
      </c>
      <c r="C7" s="15">
        <f>C5-C6</f>
        <v>28863</v>
      </c>
      <c r="D7" s="16">
        <f>'Income Statement'!D5-'Income Statement'!D6</f>
        <v>32326.448000000004</v>
      </c>
      <c r="E7" s="16">
        <f>'Income Statement'!E5-'Income Statement'!E6</f>
        <v>36354.493560000003</v>
      </c>
      <c r="F7" s="16">
        <f>'Income Statement'!F5-'Income Statement'!F6</f>
        <v>40509.292824000004</v>
      </c>
      <c r="G7" s="16">
        <f>'Income Statement'!G5-'Income Statement'!G6</f>
        <v>45131.507005200008</v>
      </c>
      <c r="H7" s="16">
        <f>'Income Statement'!H5-'Income Statement'!H6</f>
        <v>49193.342635668014</v>
      </c>
    </row>
    <row r="8" spans="2:9" ht="15" customHeight="1">
      <c r="B8" s="17" t="s">
        <v>58</v>
      </c>
      <c r="C8" s="12">
        <v>16066</v>
      </c>
      <c r="D8" s="13">
        <f>'Income Statement'!D5*Assumptions!D8</f>
        <v>17439.268</v>
      </c>
      <c r="E8" s="13">
        <f>'Income Statement'!E5*Assumptions!E8</f>
        <v>18885.451200000003</v>
      </c>
      <c r="F8" s="13">
        <f>'Income Statement'!F5*Assumptions!F8</f>
        <v>20254.646412000002</v>
      </c>
      <c r="G8" s="13">
        <f>'Income Statement'!G5*Assumptions!G8</f>
        <v>22851.395952000006</v>
      </c>
      <c r="H8" s="13">
        <f>'Income Statement'!H5*Assumptions!H8</f>
        <v>25530.72212737201</v>
      </c>
    </row>
    <row r="9" spans="2:9" ht="15" customHeight="1">
      <c r="B9" s="14" t="s">
        <v>21</v>
      </c>
      <c r="C9" s="15">
        <f>'Income Statement'!C7-'Income Statement'!C8</f>
        <v>12797</v>
      </c>
      <c r="D9" s="16">
        <f>'Income Statement'!D7-'Income Statement'!D8</f>
        <v>14887.180000000004</v>
      </c>
      <c r="E9" s="16">
        <f>'Income Statement'!E7-'Income Statement'!E8</f>
        <v>17469.042359999999</v>
      </c>
      <c r="F9" s="16">
        <f>'Income Statement'!F7-'Income Statement'!F8</f>
        <v>20254.646412000002</v>
      </c>
      <c r="G9" s="16">
        <f>'Income Statement'!G7-'Income Statement'!G8</f>
        <v>22280.111053200002</v>
      </c>
      <c r="H9" s="16">
        <f>'Income Statement'!H7-'Income Statement'!H8</f>
        <v>23662.620508296004</v>
      </c>
    </row>
    <row r="10" spans="2:9" ht="15" customHeight="1">
      <c r="B10" s="17" t="s">
        <v>22</v>
      </c>
      <c r="C10" s="18">
        <v>0.1704</v>
      </c>
      <c r="D10" s="19">
        <f>'Income Statement'!D9/'Income Statement'!D5</f>
        <v>0.17500000000000004</v>
      </c>
      <c r="E10" s="19">
        <f>'Income Statement'!E9/'Income Statement'!E5</f>
        <v>0.18499999999999997</v>
      </c>
      <c r="F10" s="19">
        <f>'Income Statement'!F9/'Income Statement'!F5</f>
        <v>0.19499999999999998</v>
      </c>
      <c r="G10" s="19">
        <f>'Income Statement'!G9/'Income Statement'!G5</f>
        <v>0.19499999999999995</v>
      </c>
      <c r="H10" s="19">
        <f>'Income Statement'!H9/'Income Statement'!H5</f>
        <v>0.18999999999999995</v>
      </c>
    </row>
    <row r="11" spans="2:9" ht="15" customHeight="1">
      <c r="B11" s="17" t="s">
        <v>59</v>
      </c>
      <c r="C11" s="12">
        <v>4015</v>
      </c>
      <c r="D11" s="20">
        <f>Schedules!D27</f>
        <v>4600</v>
      </c>
      <c r="E11" s="20">
        <f>Schedules!E27</f>
        <v>5334</v>
      </c>
      <c r="F11" s="20">
        <f>Schedules!F27</f>
        <v>5976.9999999999991</v>
      </c>
      <c r="G11" s="20">
        <f>Schedules!G27</f>
        <v>6682.5</v>
      </c>
      <c r="H11" s="20">
        <f>Schedules!H27</f>
        <v>7110</v>
      </c>
    </row>
    <row r="12" spans="2:9" ht="15" customHeight="1">
      <c r="B12" s="14" t="s">
        <v>60</v>
      </c>
      <c r="C12" s="15">
        <v>8782</v>
      </c>
      <c r="D12" s="16">
        <f>'Income Statement'!D9-'Income Statement'!D11</f>
        <v>10287.180000000004</v>
      </c>
      <c r="E12" s="16">
        <f>'Income Statement'!E9-'Income Statement'!E11</f>
        <v>12135.042359999999</v>
      </c>
      <c r="F12" s="16">
        <f>'Income Statement'!F9-'Income Statement'!F11</f>
        <v>14277.646412000002</v>
      </c>
      <c r="G12" s="16">
        <f>'Income Statement'!G9-'Income Statement'!G11</f>
        <v>15597.611053200002</v>
      </c>
      <c r="H12" s="16">
        <f>'Income Statement'!H9-'Income Statement'!H11</f>
        <v>16552.620508296004</v>
      </c>
    </row>
    <row r="13" spans="2:9" ht="15" customHeight="1">
      <c r="B13" s="17" t="s">
        <v>61</v>
      </c>
      <c r="C13" s="12">
        <v>397</v>
      </c>
      <c r="D13" s="20">
        <f>Assumptions!D9</f>
        <v>420</v>
      </c>
      <c r="E13" s="20">
        <f>Assumptions!E9</f>
        <v>440</v>
      </c>
      <c r="F13" s="20">
        <f>Assumptions!F9</f>
        <v>460</v>
      </c>
      <c r="G13" s="20">
        <f>Assumptions!G9</f>
        <v>480</v>
      </c>
      <c r="H13" s="20">
        <f>Assumptions!H9</f>
        <v>500</v>
      </c>
    </row>
    <row r="14" spans="2:9" ht="15" customHeight="1">
      <c r="B14" s="17" t="s">
        <v>62</v>
      </c>
      <c r="C14" s="12">
        <v>1651</v>
      </c>
      <c r="D14" s="20">
        <f>Schedules!D14</f>
        <v>1920.1499999999999</v>
      </c>
      <c r="E14" s="20">
        <f>Schedules!E14</f>
        <v>2032.6499999999999</v>
      </c>
      <c r="F14" s="20">
        <f>Schedules!F14</f>
        <v>1920.1499999999999</v>
      </c>
      <c r="G14" s="20">
        <f>Schedules!G14</f>
        <v>1695.1499999999999</v>
      </c>
      <c r="H14" s="20">
        <f>Schedules!H14</f>
        <v>1470.1499999999999</v>
      </c>
    </row>
    <row r="15" spans="2:9" ht="15" customHeight="1">
      <c r="B15" s="14" t="s">
        <v>23</v>
      </c>
      <c r="C15" s="15">
        <v>7528</v>
      </c>
      <c r="D15" s="16">
        <f>'Income Statement'!D12+'Income Statement'!D13-'Income Statement'!D14</f>
        <v>8787.0300000000043</v>
      </c>
      <c r="E15" s="16">
        <f>'Income Statement'!E12+'Income Statement'!E13-'Income Statement'!E14</f>
        <v>10542.39236</v>
      </c>
      <c r="F15" s="16">
        <f>'Income Statement'!F12+'Income Statement'!F13-'Income Statement'!F14</f>
        <v>12817.496412000002</v>
      </c>
      <c r="G15" s="16">
        <f>'Income Statement'!G12+'Income Statement'!G13-'Income Statement'!G14</f>
        <v>14382.461053200002</v>
      </c>
      <c r="H15" s="16">
        <f>'Income Statement'!H12+'Income Statement'!H13-'Income Statement'!H14</f>
        <v>15582.470508296004</v>
      </c>
    </row>
    <row r="16" spans="2:9" ht="15" customHeight="1">
      <c r="B16" s="17" t="s">
        <v>63</v>
      </c>
      <c r="C16" s="12">
        <v>1488</v>
      </c>
      <c r="D16" s="13">
        <f>'Income Statement'!D15*Assumptions!D10</f>
        <v>2196.7575000000011</v>
      </c>
      <c r="E16" s="13">
        <f>'Income Statement'!E15*Assumptions!E10</f>
        <v>2635.59809</v>
      </c>
      <c r="F16" s="13">
        <f>'Income Statement'!F15*Assumptions!F10</f>
        <v>3204.3741030000006</v>
      </c>
      <c r="G16" s="13">
        <f>'Income Statement'!G15*Assumptions!G10</f>
        <v>3595.6152633000006</v>
      </c>
      <c r="H16" s="13">
        <f>'Income Statement'!H15*Assumptions!H10</f>
        <v>3895.6176270740011</v>
      </c>
    </row>
    <row r="17" spans="2:8" ht="15" customHeight="1">
      <c r="B17" s="14" t="s">
        <v>24</v>
      </c>
      <c r="C17" s="15">
        <v>6040</v>
      </c>
      <c r="D17" s="16">
        <f>'Income Statement'!D15-'Income Statement'!D16</f>
        <v>6590.2725000000028</v>
      </c>
      <c r="E17" s="16">
        <f>'Income Statement'!E15-'Income Statement'!E16</f>
        <v>7906.7942700000003</v>
      </c>
      <c r="F17" s="16">
        <f>'Income Statement'!F15-'Income Statement'!F16</f>
        <v>9613.1223090000021</v>
      </c>
      <c r="G17" s="16">
        <f>'Income Statement'!G15-'Income Statement'!G16</f>
        <v>10786.845789900002</v>
      </c>
      <c r="H17" s="16">
        <f>'Income Statement'!H15-'Income Statement'!H16</f>
        <v>11686.852881222003</v>
      </c>
    </row>
    <row r="18" spans="2:8" ht="15" customHeight="1">
      <c r="B18" s="17" t="s">
        <v>25</v>
      </c>
      <c r="C18" s="18">
        <v>0.19769999999999999</v>
      </c>
      <c r="D18" s="19">
        <f>'Income Statement'!D16/'Income Statement'!D15</f>
        <v>0.25</v>
      </c>
      <c r="E18" s="19">
        <f>'Income Statement'!E16/'Income Statement'!E15</f>
        <v>0.25</v>
      </c>
      <c r="F18" s="19">
        <f>'Income Statement'!F16/'Income Statement'!F15</f>
        <v>0.25</v>
      </c>
      <c r="G18" s="19">
        <f>'Income Statement'!G16/'Income Statement'!G15</f>
        <v>0.25</v>
      </c>
      <c r="H18" s="19">
        <f>'Income Statement'!H16/'Income Statement'!H15</f>
        <v>0.25</v>
      </c>
    </row>
    <row r="19" spans="2:8" ht="15" customHeight="1">
      <c r="B19" s="17" t="s">
        <v>26</v>
      </c>
      <c r="C19" s="18">
        <v>7.9600000000000004E-2</v>
      </c>
      <c r="D19" s="19">
        <f>'Income Statement'!D17/'Income Statement'!D5</f>
        <v>7.7469184056349186E-2</v>
      </c>
      <c r="E19" s="19">
        <f>'Income Statement'!E17/'Income Statement'!E5</f>
        <v>8.3734237390102703E-2</v>
      </c>
      <c r="F19" s="19">
        <f>'Income Statement'!F17/'Income Statement'!F5</f>
        <v>9.2549571694542407E-2</v>
      </c>
      <c r="G19" s="19">
        <f>'Income Statement'!G17/'Income Statement'!G5</f>
        <v>9.4408637551579536E-2</v>
      </c>
      <c r="H19" s="19">
        <f>'Income Statement'!H17/'Income Statement'!H5</f>
        <v>9.3840073488635059E-2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B1:I43"/>
  <sheetViews>
    <sheetView showGridLines="0" zoomScale="130" zoomScaleNormal="130" workbookViewId="0">
      <pane ySplit="3" topLeftCell="A35" activePane="bottomLeft" state="frozen"/>
      <selection sqref="A1:XFD3"/>
      <selection pane="bottomLeft" sqref="A1:XFD3"/>
    </sheetView>
  </sheetViews>
  <sheetFormatPr defaultColWidth="8.6640625" defaultRowHeight="14.4"/>
  <cols>
    <col min="1" max="1" width="8.6640625" style="72"/>
    <col min="2" max="2" width="42" style="72" customWidth="1"/>
    <col min="3" max="3" width="16" style="72" customWidth="1"/>
    <col min="4" max="8" width="13" style="72" customWidth="1"/>
    <col min="9" max="16384" width="8.6640625" style="72"/>
  </cols>
  <sheetData>
    <row r="1" spans="2:9" s="1" customFormat="1" ht="18">
      <c r="B1" s="9" t="s">
        <v>64</v>
      </c>
      <c r="C1" s="10"/>
      <c r="D1" s="2"/>
      <c r="E1" s="3"/>
      <c r="F1" s="8" t="s">
        <v>19</v>
      </c>
      <c r="G1" s="3"/>
      <c r="H1" s="3"/>
      <c r="I1" s="4"/>
    </row>
    <row r="2" spans="2:9" ht="15.6">
      <c r="C2" s="73"/>
      <c r="D2" s="3"/>
      <c r="E2" s="74"/>
      <c r="F2" s="74"/>
      <c r="G2" s="74"/>
      <c r="H2" s="74"/>
      <c r="I2" s="73"/>
    </row>
    <row r="3" spans="2:9" s="1" customFormat="1" ht="15.6">
      <c r="B3" s="5" t="s">
        <v>55</v>
      </c>
      <c r="C3" s="6">
        <v>2025</v>
      </c>
      <c r="D3" s="7">
        <f>C3+1</f>
        <v>2026</v>
      </c>
      <c r="E3" s="7">
        <f t="shared" ref="E3:H3" si="0">D3+1</f>
        <v>2027</v>
      </c>
      <c r="F3" s="7">
        <f t="shared" si="0"/>
        <v>2028</v>
      </c>
      <c r="G3" s="7">
        <f t="shared" si="0"/>
        <v>2029</v>
      </c>
      <c r="H3" s="7">
        <f t="shared" si="0"/>
        <v>2030</v>
      </c>
      <c r="I3" s="4"/>
    </row>
    <row r="5" spans="2:9" ht="15.75" customHeight="1">
      <c r="B5" s="21" t="s">
        <v>45</v>
      </c>
      <c r="C5" s="21"/>
      <c r="D5" s="21"/>
      <c r="E5" s="21"/>
      <c r="F5" s="21"/>
      <c r="G5" s="21"/>
      <c r="H5" s="21"/>
    </row>
    <row r="6" spans="2:9" ht="15.75" customHeight="1"/>
    <row r="7" spans="2:9" ht="15.75" customHeight="1">
      <c r="B7" s="24" t="s">
        <v>8</v>
      </c>
      <c r="C7" s="25"/>
      <c r="D7" s="25"/>
      <c r="E7" s="25"/>
      <c r="F7" s="25"/>
      <c r="G7" s="75"/>
      <c r="H7" s="75"/>
    </row>
    <row r="8" spans="2:9" ht="15" customHeight="1">
      <c r="B8" s="22" t="s">
        <v>66</v>
      </c>
      <c r="C8" s="12">
        <v>2500</v>
      </c>
      <c r="D8" s="20">
        <f>'Cash Flow'!D35</f>
        <v>1111.9546595890438</v>
      </c>
      <c r="E8" s="20">
        <f>'Cash Flow'!E35</f>
        <v>-298.60811455479416</v>
      </c>
      <c r="F8" s="20">
        <f>'Cash Flow'!F35</f>
        <v>956.27620115466107</v>
      </c>
      <c r="G8" s="20">
        <f>'Cash Flow'!G35</f>
        <v>3098.9310235652101</v>
      </c>
      <c r="H8" s="20">
        <f>'Cash Flow'!H35</f>
        <v>8318.3096022500849</v>
      </c>
    </row>
    <row r="9" spans="2:9" ht="15" customHeight="1">
      <c r="B9" s="22" t="s">
        <v>75</v>
      </c>
      <c r="C9" s="12">
        <v>5831</v>
      </c>
      <c r="D9" s="20">
        <f>Schedules!D41</f>
        <v>6292.8197260273973</v>
      </c>
      <c r="E9" s="20">
        <f>Schedules!E41</f>
        <v>6726.3250849315082</v>
      </c>
      <c r="F9" s="20">
        <f>Schedules!F41</f>
        <v>7114.3823013698648</v>
      </c>
      <c r="G9" s="20">
        <f>Schedules!G41</f>
        <v>7825.8205315068517</v>
      </c>
      <c r="H9" s="20">
        <f>Schedules!H41</f>
        <v>8530.1443793424678</v>
      </c>
    </row>
    <row r="10" spans="2:9" ht="15" customHeight="1">
      <c r="B10" s="22" t="s">
        <v>67</v>
      </c>
      <c r="C10" s="12">
        <v>5805</v>
      </c>
      <c r="D10" s="20">
        <f>Schedules!D42</f>
        <v>6502.5803835616434</v>
      </c>
      <c r="E10" s="20">
        <f>Schedules!E42</f>
        <v>6841.4487258082208</v>
      </c>
      <c r="F10" s="20">
        <f>Schedules!F42</f>
        <v>7290.8189824438377</v>
      </c>
      <c r="G10" s="20">
        <f>Schedules!G42</f>
        <v>7954.163988223565</v>
      </c>
      <c r="H10" s="20">
        <f>Schedules!H42</f>
        <v>8670.0387471636859</v>
      </c>
    </row>
    <row r="11" spans="2:9" ht="15" customHeight="1">
      <c r="B11" s="22" t="s">
        <v>68</v>
      </c>
      <c r="C11" s="12">
        <v>5013</v>
      </c>
      <c r="D11" s="20">
        <f>Schedules!D43</f>
        <v>5529.5240000000003</v>
      </c>
      <c r="E11" s="20">
        <f>Schedules!E43</f>
        <v>5948.917128000001</v>
      </c>
      <c r="F11" s="20">
        <f>Schedules!F43</f>
        <v>6232.1988960000008</v>
      </c>
      <c r="G11" s="20">
        <f>Schedules!G43</f>
        <v>6855.4187856000017</v>
      </c>
      <c r="H11" s="20">
        <f>Schedules!H43</f>
        <v>7472.4064763040024</v>
      </c>
    </row>
    <row r="12" spans="2:9" ht="15" customHeight="1">
      <c r="B12" s="26" t="s">
        <v>46</v>
      </c>
      <c r="C12" s="27">
        <v>19149</v>
      </c>
      <c r="D12" s="28">
        <f>SUM('Balance Sheet'!D8:D11)</f>
        <v>19436.878769178085</v>
      </c>
      <c r="E12" s="28">
        <f>SUM('Balance Sheet'!E8:E11)</f>
        <v>19218.082824184938</v>
      </c>
      <c r="F12" s="28">
        <f>SUM('Balance Sheet'!F8:F11)</f>
        <v>21593.676380968365</v>
      </c>
      <c r="G12" s="28">
        <f>SUM('Balance Sheet'!G8:G11)</f>
        <v>25734.334328895628</v>
      </c>
      <c r="H12" s="28">
        <f>SUM('Balance Sheet'!H8:H11)</f>
        <v>32990.899205060239</v>
      </c>
    </row>
    <row r="13" spans="2:9">
      <c r="B13" s="23"/>
    </row>
    <row r="14" spans="2:9" ht="15.75" customHeight="1">
      <c r="B14" s="24" t="s">
        <v>65</v>
      </c>
      <c r="C14" s="25"/>
      <c r="D14" s="25"/>
      <c r="E14" s="25"/>
      <c r="F14" s="25"/>
      <c r="G14" s="75"/>
      <c r="H14" s="75"/>
    </row>
    <row r="15" spans="2:9" ht="15" customHeight="1">
      <c r="B15" s="11" t="s">
        <v>76</v>
      </c>
      <c r="C15" s="12">
        <v>94564</v>
      </c>
      <c r="D15" s="20">
        <f>Schedules!D32</f>
        <v>101964</v>
      </c>
      <c r="E15" s="20">
        <f>Schedules!E32</f>
        <v>108630</v>
      </c>
      <c r="F15" s="20">
        <f>Schedules!F32</f>
        <v>112653</v>
      </c>
      <c r="G15" s="20">
        <f>Schedules!G32</f>
        <v>115970.5</v>
      </c>
      <c r="H15" s="20">
        <f>Schedules!H32</f>
        <v>116860.5</v>
      </c>
    </row>
    <row r="16" spans="2:9" ht="15" customHeight="1">
      <c r="B16" s="11" t="s">
        <v>77</v>
      </c>
      <c r="C16" s="12">
        <v>6234</v>
      </c>
      <c r="D16" s="20">
        <f>Assumptions!D17</f>
        <v>7000</v>
      </c>
      <c r="E16" s="20">
        <f>Assumptions!E17</f>
        <v>7000</v>
      </c>
      <c r="F16" s="20">
        <f>Assumptions!F17</f>
        <v>6000</v>
      </c>
      <c r="G16" s="20">
        <f>Assumptions!G17</f>
        <v>5000</v>
      </c>
      <c r="H16" s="20">
        <f>Assumptions!H17</f>
        <v>4000</v>
      </c>
    </row>
    <row r="17" spans="2:8" ht="15" customHeight="1">
      <c r="B17" s="11" t="s">
        <v>78</v>
      </c>
      <c r="C17" s="12">
        <v>5156</v>
      </c>
      <c r="D17" s="20">
        <f>Assumptions!D34</f>
        <v>5500</v>
      </c>
      <c r="E17" s="20">
        <f>Assumptions!E34</f>
        <v>5500</v>
      </c>
      <c r="F17" s="20">
        <f>Assumptions!F34</f>
        <v>5000</v>
      </c>
      <c r="G17" s="20">
        <f>Assumptions!G34</f>
        <v>5000</v>
      </c>
      <c r="H17" s="20">
        <f>Assumptions!H34</f>
        <v>5000</v>
      </c>
    </row>
    <row r="18" spans="2:8" ht="15" customHeight="1">
      <c r="B18" s="11" t="s">
        <v>79</v>
      </c>
      <c r="C18" s="12">
        <v>8529</v>
      </c>
      <c r="D18" s="20">
        <f>Assumptions!D36</f>
        <v>8529</v>
      </c>
      <c r="E18" s="20">
        <f>Assumptions!E36</f>
        <v>8529</v>
      </c>
      <c r="F18" s="20">
        <f>Assumptions!F36</f>
        <v>8529</v>
      </c>
      <c r="G18" s="20">
        <f>Assumptions!G36</f>
        <v>8529</v>
      </c>
      <c r="H18" s="20">
        <f>Assumptions!H36</f>
        <v>8529</v>
      </c>
    </row>
    <row r="19" spans="2:8" ht="15" customHeight="1">
      <c r="B19" s="29" t="s">
        <v>47</v>
      </c>
      <c r="C19" s="27">
        <v>114483</v>
      </c>
      <c r="D19" s="28">
        <f>SUM('Balance Sheet'!D15:D18)</f>
        <v>122993</v>
      </c>
      <c r="E19" s="28">
        <f>SUM('Balance Sheet'!E15:E18)</f>
        <v>129659</v>
      </c>
      <c r="F19" s="28">
        <f>SUM('Balance Sheet'!F15:F18)</f>
        <v>132182</v>
      </c>
      <c r="G19" s="28">
        <f>SUM('Balance Sheet'!G15:G18)</f>
        <v>134499.5</v>
      </c>
      <c r="H19" s="28">
        <f>SUM('Balance Sheet'!H15:H18)</f>
        <v>134389.5</v>
      </c>
    </row>
    <row r="20" spans="2:8" ht="15" thickBot="1"/>
    <row r="21" spans="2:8" ht="15" customHeight="1" thickBot="1">
      <c r="B21" s="30" t="s">
        <v>48</v>
      </c>
      <c r="C21" s="31">
        <v>133632</v>
      </c>
      <c r="D21" s="32">
        <f>'Balance Sheet'!D12+'Balance Sheet'!D19</f>
        <v>142429.87876917809</v>
      </c>
      <c r="E21" s="32">
        <f>'Balance Sheet'!E12+'Balance Sheet'!E19</f>
        <v>148877.08282418494</v>
      </c>
      <c r="F21" s="32">
        <f>'Balance Sheet'!F12+'Balance Sheet'!F19</f>
        <v>153775.67638096836</v>
      </c>
      <c r="G21" s="32">
        <f>'Balance Sheet'!G12+'Balance Sheet'!G19</f>
        <v>160233.83432889564</v>
      </c>
      <c r="H21" s="33">
        <f>'Balance Sheet'!H12+'Balance Sheet'!H19</f>
        <v>167380.39920506024</v>
      </c>
    </row>
    <row r="23" spans="2:8" ht="15.75" customHeight="1">
      <c r="B23" s="21" t="s">
        <v>49</v>
      </c>
      <c r="C23" s="21"/>
      <c r="D23" s="21"/>
      <c r="E23" s="21"/>
      <c r="F23" s="21"/>
      <c r="G23" s="21"/>
      <c r="H23" s="21"/>
    </row>
    <row r="24" spans="2:8" ht="15.75" customHeight="1">
      <c r="B24" s="34"/>
      <c r="C24" s="34"/>
      <c r="D24" s="34"/>
      <c r="E24" s="34"/>
      <c r="F24" s="34"/>
      <c r="G24" s="34"/>
      <c r="H24" s="34"/>
    </row>
    <row r="25" spans="2:8" ht="15.75" customHeight="1">
      <c r="B25" s="24" t="s">
        <v>9</v>
      </c>
      <c r="C25" s="25"/>
      <c r="D25" s="25"/>
      <c r="E25" s="25"/>
      <c r="F25" s="25"/>
      <c r="G25" s="75"/>
      <c r="H25" s="75"/>
    </row>
    <row r="26" spans="2:8" ht="15" customHeight="1">
      <c r="B26" s="11" t="s">
        <v>71</v>
      </c>
      <c r="C26" s="12">
        <v>7482</v>
      </c>
      <c r="D26" s="20">
        <f>Schedules!D47</f>
        <v>8236.6018191780822</v>
      </c>
      <c r="E26" s="20">
        <f>Schedules!E47</f>
        <v>8750.6902306849333</v>
      </c>
      <c r="F26" s="20">
        <f>Schedules!F47</f>
        <v>9547.5010484383583</v>
      </c>
      <c r="G26" s="20">
        <f>Schedules!G47</f>
        <v>10416.167127435619</v>
      </c>
      <c r="H26" s="20">
        <f>Schedules!H47</f>
        <v>11353.622168904827</v>
      </c>
    </row>
    <row r="27" spans="2:8" ht="15" customHeight="1">
      <c r="B27" s="11" t="s">
        <v>72</v>
      </c>
      <c r="C27" s="12">
        <v>4102</v>
      </c>
      <c r="D27" s="20">
        <f>Assumptions!D37</f>
        <v>4102</v>
      </c>
      <c r="E27" s="20">
        <f>Assumptions!E37</f>
        <v>4102</v>
      </c>
      <c r="F27" s="20">
        <f>Assumptions!F37</f>
        <v>4102</v>
      </c>
      <c r="G27" s="20">
        <f>Assumptions!G37</f>
        <v>4102</v>
      </c>
      <c r="H27" s="20">
        <f>Assumptions!H37</f>
        <v>4102</v>
      </c>
    </row>
    <row r="28" spans="2:8" ht="15" customHeight="1">
      <c r="B28" s="11" t="s">
        <v>70</v>
      </c>
      <c r="C28" s="12">
        <v>7975</v>
      </c>
      <c r="D28" s="20">
        <f>Schedules!D48</f>
        <v>8932.3080000000009</v>
      </c>
      <c r="E28" s="20">
        <f>Schedules!E48</f>
        <v>9726.0073680000005</v>
      </c>
      <c r="F28" s="20">
        <f>Schedules!F48</f>
        <v>10386.998160000003</v>
      </c>
      <c r="G28" s="20">
        <f>Schedules!G48</f>
        <v>11425.697976000003</v>
      </c>
      <c r="H28" s="20">
        <f>Schedules!H48</f>
        <v>12454.010793840005</v>
      </c>
    </row>
    <row r="29" spans="2:8" ht="15" customHeight="1">
      <c r="B29" s="29" t="s">
        <v>50</v>
      </c>
      <c r="C29" s="27">
        <v>19559</v>
      </c>
      <c r="D29" s="28">
        <f>SUM('Balance Sheet'!D26:D28)</f>
        <v>21270.909819178083</v>
      </c>
      <c r="E29" s="28">
        <f>SUM('Balance Sheet'!E26:E28)</f>
        <v>22578.697598684936</v>
      </c>
      <c r="F29" s="28">
        <f>SUM('Balance Sheet'!F26:F28)</f>
        <v>24036.499208438363</v>
      </c>
      <c r="G29" s="28">
        <f>SUM('Balance Sheet'!G26:G28)</f>
        <v>25943.865103435623</v>
      </c>
      <c r="H29" s="28">
        <f>SUM('Balance Sheet'!H26:H28)</f>
        <v>27909.632962744832</v>
      </c>
    </row>
    <row r="31" spans="2:8" ht="15.75" customHeight="1">
      <c r="B31" s="24" t="s">
        <v>69</v>
      </c>
      <c r="C31" s="25"/>
      <c r="D31" s="25"/>
      <c r="E31" s="25"/>
      <c r="F31" s="25"/>
      <c r="G31" s="75"/>
      <c r="H31" s="75"/>
    </row>
    <row r="32" spans="2:8" ht="15" customHeight="1">
      <c r="B32" s="11" t="s">
        <v>73</v>
      </c>
      <c r="C32" s="12">
        <v>20000</v>
      </c>
      <c r="D32" s="13">
        <f>Schedules!D9-Assumptions!D37</f>
        <v>23000</v>
      </c>
      <c r="E32" s="13">
        <f>Schedules!E9-Assumptions!E37</f>
        <v>23000</v>
      </c>
      <c r="F32" s="13">
        <f>Schedules!F9-Assumptions!F37</f>
        <v>20000</v>
      </c>
      <c r="G32" s="13">
        <f>Schedules!G9-Assumptions!G37</f>
        <v>17000</v>
      </c>
      <c r="H32" s="13">
        <f>Schedules!H9-Assumptions!H37</f>
        <v>14000</v>
      </c>
    </row>
    <row r="33" spans="2:8" ht="15" customHeight="1">
      <c r="B33" s="11" t="s">
        <v>74</v>
      </c>
      <c r="C33" s="12">
        <v>23366</v>
      </c>
      <c r="D33" s="20">
        <f>Assumptions!D35</f>
        <v>23366</v>
      </c>
      <c r="E33" s="20">
        <f>Assumptions!E35</f>
        <v>23366</v>
      </c>
      <c r="F33" s="20">
        <f>Assumptions!F35</f>
        <v>23366</v>
      </c>
      <c r="G33" s="20">
        <f>Assumptions!G35</f>
        <v>23366</v>
      </c>
      <c r="H33" s="20">
        <f>Assumptions!H35</f>
        <v>23366</v>
      </c>
    </row>
    <row r="34" spans="2:8" ht="15" customHeight="1">
      <c r="B34" s="29" t="s">
        <v>51</v>
      </c>
      <c r="C34" s="27">
        <v>43366</v>
      </c>
      <c r="D34" s="28">
        <f>'Balance Sheet'!D32+'Balance Sheet'!D33</f>
        <v>46366</v>
      </c>
      <c r="E34" s="28">
        <f>'Balance Sheet'!E32+'Balance Sheet'!E33</f>
        <v>46366</v>
      </c>
      <c r="F34" s="28">
        <f>'Balance Sheet'!F32+'Balance Sheet'!F33</f>
        <v>43366</v>
      </c>
      <c r="G34" s="28">
        <f>'Balance Sheet'!G32+'Balance Sheet'!G33</f>
        <v>40366</v>
      </c>
      <c r="H34" s="28">
        <f>'Balance Sheet'!H32+'Balance Sheet'!H33</f>
        <v>37366</v>
      </c>
    </row>
    <row r="36" spans="2:8" ht="15.75" customHeight="1">
      <c r="B36" s="25" t="s">
        <v>83</v>
      </c>
      <c r="C36" s="25"/>
      <c r="D36" s="25"/>
      <c r="E36" s="25"/>
      <c r="F36" s="25"/>
      <c r="G36" s="75"/>
      <c r="H36" s="75"/>
    </row>
    <row r="37" spans="2:8" ht="15" customHeight="1">
      <c r="B37" s="11" t="s">
        <v>80</v>
      </c>
      <c r="C37" s="12">
        <v>295</v>
      </c>
      <c r="D37" s="20">
        <f>Schedules!D65</f>
        <v>295</v>
      </c>
      <c r="E37" s="20">
        <f>Schedules!E65</f>
        <v>295</v>
      </c>
      <c r="F37" s="20">
        <f>Schedules!F65</f>
        <v>295</v>
      </c>
      <c r="G37" s="20">
        <f>Schedules!G65</f>
        <v>295</v>
      </c>
      <c r="H37" s="20">
        <f>Schedules!H65</f>
        <v>295</v>
      </c>
    </row>
    <row r="38" spans="2:8" ht="15" customHeight="1">
      <c r="B38" s="11" t="s">
        <v>81</v>
      </c>
      <c r="C38" s="12">
        <v>70412</v>
      </c>
      <c r="D38" s="20">
        <f>Schedules!D71</f>
        <v>74497.968950000009</v>
      </c>
      <c r="E38" s="20">
        <f>Schedules!E71</f>
        <v>79637.385225500009</v>
      </c>
      <c r="F38" s="20">
        <f>Schedules!F71</f>
        <v>86078.177172530006</v>
      </c>
      <c r="G38" s="20">
        <f>Schedules!G71</f>
        <v>93628.969225460009</v>
      </c>
      <c r="H38" s="20">
        <f>Schedules!H71</f>
        <v>101809.76624231541</v>
      </c>
    </row>
    <row r="39" spans="2:8" ht="15" customHeight="1">
      <c r="B39" s="29" t="s">
        <v>52</v>
      </c>
      <c r="C39" s="27">
        <v>70707</v>
      </c>
      <c r="D39" s="37">
        <f>Schedules!D74</f>
        <v>74792.968950000009</v>
      </c>
      <c r="E39" s="37">
        <f>Schedules!E74</f>
        <v>79932.385225500009</v>
      </c>
      <c r="F39" s="37">
        <f>Schedules!F74</f>
        <v>86373.177172530006</v>
      </c>
      <c r="G39" s="37">
        <f>Schedules!G74</f>
        <v>93923.969225460009</v>
      </c>
      <c r="H39" s="37">
        <f>Schedules!H74</f>
        <v>102104.76624231541</v>
      </c>
    </row>
    <row r="40" spans="2:8" ht="15" thickBot="1"/>
    <row r="41" spans="2:8" ht="15" customHeight="1" thickBot="1">
      <c r="B41" s="30" t="s">
        <v>53</v>
      </c>
      <c r="C41" s="31">
        <v>133632</v>
      </c>
      <c r="D41" s="32">
        <f>'Balance Sheet'!D29+'Balance Sheet'!D34+'Balance Sheet'!D39</f>
        <v>142429.87876917809</v>
      </c>
      <c r="E41" s="32">
        <f>'Balance Sheet'!E29+'Balance Sheet'!E34+'Balance Sheet'!E39</f>
        <v>148877.08282418494</v>
      </c>
      <c r="F41" s="32">
        <f>'Balance Sheet'!F29+'Balance Sheet'!F34+'Balance Sheet'!F39</f>
        <v>153775.67638096836</v>
      </c>
      <c r="G41" s="32">
        <f>'Balance Sheet'!G29+'Balance Sheet'!G34+'Balance Sheet'!G39</f>
        <v>160233.83432889561</v>
      </c>
      <c r="H41" s="33">
        <f>'Balance Sheet'!H29+'Balance Sheet'!H34+'Balance Sheet'!H39</f>
        <v>167380.39920506024</v>
      </c>
    </row>
    <row r="43" spans="2:8" ht="19.5" customHeight="1">
      <c r="B43" s="35" t="s">
        <v>82</v>
      </c>
      <c r="C43" s="36">
        <v>0</v>
      </c>
      <c r="D43" s="36">
        <f>'Balance Sheet'!D21-'Balance Sheet'!D41</f>
        <v>0</v>
      </c>
      <c r="E43" s="36">
        <f>'Balance Sheet'!E21-'Balance Sheet'!E41</f>
        <v>0</v>
      </c>
      <c r="F43" s="36">
        <f>'Balance Sheet'!F21-'Balance Sheet'!F41</f>
        <v>0</v>
      </c>
      <c r="G43" s="36">
        <f>'Balance Sheet'!G21-'Balance Sheet'!G41</f>
        <v>0</v>
      </c>
      <c r="H43" s="36">
        <f>'Balance Sheet'!H21-'Balance Sheet'!H41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H74"/>
  <sheetViews>
    <sheetView showGridLines="0" zoomScale="115" zoomScaleNormal="115" workbookViewId="0">
      <pane ySplit="3" topLeftCell="A12" activePane="bottomLeft" state="frozen"/>
      <selection sqref="A1:XFD3"/>
      <selection pane="bottomLeft" sqref="A1:XFD3"/>
    </sheetView>
  </sheetViews>
  <sheetFormatPr defaultColWidth="8.6640625" defaultRowHeight="14.4"/>
  <cols>
    <col min="1" max="1" width="8.6640625" style="38"/>
    <col min="2" max="2" width="48" style="44" customWidth="1"/>
    <col min="3" max="3" width="16" style="44" customWidth="1"/>
    <col min="4" max="8" width="13" style="44" customWidth="1"/>
    <col min="9" max="16384" width="8.6640625" style="44"/>
  </cols>
  <sheetData>
    <row r="1" spans="1:8" ht="25.5" customHeight="1">
      <c r="B1" s="39" t="s">
        <v>84</v>
      </c>
      <c r="C1" s="40"/>
      <c r="D1" s="41"/>
      <c r="E1" s="42"/>
      <c r="F1" s="43" t="s">
        <v>19</v>
      </c>
      <c r="G1" s="42"/>
      <c r="H1" s="42"/>
    </row>
    <row r="2" spans="1:8" ht="13.5" customHeight="1">
      <c r="C2" s="45"/>
      <c r="D2" s="42"/>
      <c r="E2" s="46"/>
      <c r="F2" s="46"/>
      <c r="G2" s="46"/>
      <c r="H2" s="46"/>
    </row>
    <row r="3" spans="1:8" ht="18" customHeight="1">
      <c r="B3" s="47" t="s">
        <v>55</v>
      </c>
      <c r="C3" s="48">
        <v>2025</v>
      </c>
      <c r="D3" s="49">
        <f>C3+1</f>
        <v>2026</v>
      </c>
      <c r="E3" s="49">
        <f t="shared" ref="E3:H3" si="0">D3+1</f>
        <v>2027</v>
      </c>
      <c r="F3" s="49">
        <f t="shared" si="0"/>
        <v>2028</v>
      </c>
      <c r="G3" s="49">
        <f t="shared" si="0"/>
        <v>2029</v>
      </c>
      <c r="H3" s="49">
        <f t="shared" si="0"/>
        <v>2030</v>
      </c>
    </row>
    <row r="5" spans="1:8" ht="15.75" customHeight="1">
      <c r="B5" s="64" t="s">
        <v>85</v>
      </c>
      <c r="C5" s="64"/>
      <c r="D5" s="64"/>
      <c r="E5" s="64"/>
      <c r="F5" s="64"/>
      <c r="G5" s="64"/>
      <c r="H5" s="64"/>
    </row>
    <row r="6" spans="1:8" ht="15" customHeight="1">
      <c r="B6" s="50" t="s">
        <v>86</v>
      </c>
      <c r="D6" s="52">
        <f>Schedules!C9</f>
        <v>24102</v>
      </c>
      <c r="E6" s="52">
        <f>Schedules!D9</f>
        <v>27102</v>
      </c>
      <c r="F6" s="52">
        <f>Schedules!E9</f>
        <v>27102</v>
      </c>
      <c r="G6" s="52">
        <f>Schedules!F9</f>
        <v>24102</v>
      </c>
      <c r="H6" s="52">
        <f>Schedules!G9</f>
        <v>21102</v>
      </c>
    </row>
    <row r="7" spans="1:8" ht="15" customHeight="1">
      <c r="A7" s="53" t="s">
        <v>88</v>
      </c>
      <c r="B7" s="50" t="s">
        <v>87</v>
      </c>
      <c r="D7" s="52">
        <f>Assumptions!D21</f>
        <v>5000</v>
      </c>
      <c r="E7" s="52">
        <f>Assumptions!E21</f>
        <v>3000</v>
      </c>
      <c r="F7" s="52">
        <f>Assumptions!F21</f>
        <v>0</v>
      </c>
      <c r="G7" s="52">
        <f>Assumptions!G21</f>
        <v>0</v>
      </c>
      <c r="H7" s="52">
        <f>Assumptions!H21</f>
        <v>0</v>
      </c>
    </row>
    <row r="8" spans="1:8" ht="15" customHeight="1" thickBot="1">
      <c r="A8" s="53" t="s">
        <v>89</v>
      </c>
      <c r="B8" s="50" t="s">
        <v>90</v>
      </c>
      <c r="D8" s="52">
        <f>Assumptions!D22</f>
        <v>2000</v>
      </c>
      <c r="E8" s="52">
        <f>Assumptions!E22</f>
        <v>3000</v>
      </c>
      <c r="F8" s="52">
        <f>Assumptions!F22</f>
        <v>3000</v>
      </c>
      <c r="G8" s="52">
        <f>Assumptions!G22</f>
        <v>3000</v>
      </c>
      <c r="H8" s="52">
        <f>Assumptions!H22</f>
        <v>3000</v>
      </c>
    </row>
    <row r="9" spans="1:8" ht="15" customHeight="1" thickBot="1">
      <c r="B9" s="65" t="s">
        <v>91</v>
      </c>
      <c r="C9" s="66">
        <v>24102</v>
      </c>
      <c r="D9" s="67">
        <f>Schedules!D6+Schedules!D7-Schedules!D8</f>
        <v>27102</v>
      </c>
      <c r="E9" s="67">
        <f>Schedules!E6+Schedules!E7-Schedules!E8</f>
        <v>27102</v>
      </c>
      <c r="F9" s="67">
        <f>Schedules!F6+Schedules!F7-Schedules!F8</f>
        <v>24102</v>
      </c>
      <c r="G9" s="67">
        <f>Schedules!G6+Schedules!G7-Schedules!G8</f>
        <v>21102</v>
      </c>
      <c r="H9" s="68">
        <f>Schedules!H6+Schedules!H7-Schedules!H8</f>
        <v>18102</v>
      </c>
    </row>
    <row r="10" spans="1:8" ht="15" customHeight="1">
      <c r="B10" s="50"/>
      <c r="C10" s="51"/>
      <c r="D10" s="59"/>
      <c r="E10" s="59"/>
      <c r="F10" s="59"/>
      <c r="G10" s="59"/>
      <c r="H10" s="59"/>
    </row>
    <row r="11" spans="1:8">
      <c r="B11" s="54" t="s">
        <v>95</v>
      </c>
    </row>
    <row r="12" spans="1:8" ht="15" customHeight="1">
      <c r="B12" s="50" t="s">
        <v>92</v>
      </c>
      <c r="D12" s="69">
        <f>Assumptions!D20</f>
        <v>7.4999999999999997E-2</v>
      </c>
      <c r="E12" s="69">
        <f>Assumptions!E20</f>
        <v>7.4999999999999997E-2</v>
      </c>
      <c r="F12" s="69">
        <f>Assumptions!F20</f>
        <v>7.4999999999999997E-2</v>
      </c>
      <c r="G12" s="69">
        <f>Assumptions!G20</f>
        <v>7.4999999999999997E-2</v>
      </c>
      <c r="H12" s="69">
        <f>Assumptions!H20</f>
        <v>7.4999999999999997E-2</v>
      </c>
    </row>
    <row r="13" spans="1:8" ht="15" customHeight="1" thickBot="1">
      <c r="B13" s="50" t="s">
        <v>93</v>
      </c>
      <c r="D13" s="59">
        <f>(Schedules!D6+Schedules!D9)/2</f>
        <v>25602</v>
      </c>
      <c r="E13" s="59">
        <f>(Schedules!E6+Schedules!E9)/2</f>
        <v>27102</v>
      </c>
      <c r="F13" s="59">
        <f>(Schedules!F6+Schedules!F9)/2</f>
        <v>25602</v>
      </c>
      <c r="G13" s="59">
        <f>(Schedules!G6+Schedules!G9)/2</f>
        <v>22602</v>
      </c>
      <c r="H13" s="59">
        <f>(Schedules!H6+Schedules!H9)/2</f>
        <v>19602</v>
      </c>
    </row>
    <row r="14" spans="1:8" ht="15" customHeight="1" thickBot="1">
      <c r="B14" s="65" t="s">
        <v>94</v>
      </c>
      <c r="C14" s="70"/>
      <c r="D14" s="67">
        <f>Schedules!D13*Schedules!D12</f>
        <v>1920.1499999999999</v>
      </c>
      <c r="E14" s="67">
        <f>Schedules!E13*Schedules!E12</f>
        <v>2032.6499999999999</v>
      </c>
      <c r="F14" s="67">
        <f>Schedules!F13*Schedules!F12</f>
        <v>1920.1499999999999</v>
      </c>
      <c r="G14" s="67">
        <f>Schedules!G13*Schedules!G12</f>
        <v>1695.1499999999999</v>
      </c>
      <c r="H14" s="68">
        <f>Schedules!H13*Schedules!H12</f>
        <v>1470.1499999999999</v>
      </c>
    </row>
    <row r="17" spans="1:8" ht="15.75" customHeight="1">
      <c r="B17" s="64" t="s">
        <v>96</v>
      </c>
      <c r="C17" s="64"/>
      <c r="D17" s="64"/>
      <c r="E17" s="64"/>
      <c r="F17" s="64"/>
      <c r="G17" s="64"/>
      <c r="H17" s="64"/>
    </row>
    <row r="18" spans="1:8" ht="15.75" customHeight="1">
      <c r="B18" s="71"/>
      <c r="C18" s="71"/>
      <c r="D18" s="71"/>
      <c r="E18" s="71"/>
      <c r="F18" s="71"/>
      <c r="G18" s="71"/>
      <c r="H18" s="71"/>
    </row>
    <row r="19" spans="1:8" ht="15" customHeight="1">
      <c r="B19" s="54" t="s">
        <v>97</v>
      </c>
    </row>
    <row r="20" spans="1:8" ht="15" customHeight="1">
      <c r="B20" s="50" t="s">
        <v>98</v>
      </c>
      <c r="C20" s="51"/>
      <c r="D20" s="52">
        <f>Assumptions!C40</f>
        <v>115000</v>
      </c>
      <c r="E20" s="52">
        <f>Schedules!D23</f>
        <v>127000</v>
      </c>
      <c r="F20" s="52">
        <f>Schedules!E23</f>
        <v>139000</v>
      </c>
      <c r="G20" s="52">
        <f>Schedules!F23</f>
        <v>148500</v>
      </c>
      <c r="H20" s="52">
        <f>Schedules!G23</f>
        <v>158000</v>
      </c>
    </row>
    <row r="21" spans="1:8" ht="15" customHeight="1">
      <c r="A21" s="53" t="s">
        <v>88</v>
      </c>
      <c r="B21" s="50" t="s">
        <v>99</v>
      </c>
      <c r="D21" s="52">
        <f>Assumptions!D15</f>
        <v>12000</v>
      </c>
      <c r="E21" s="52">
        <f>Assumptions!E15</f>
        <v>12000</v>
      </c>
      <c r="F21" s="52">
        <f>Assumptions!F15</f>
        <v>10000</v>
      </c>
      <c r="G21" s="52">
        <f>Assumptions!G15</f>
        <v>10000</v>
      </c>
      <c r="H21" s="52">
        <f>Assumptions!H15</f>
        <v>8000</v>
      </c>
    </row>
    <row r="22" spans="1:8" ht="15" customHeight="1" thickBot="1">
      <c r="A22" s="53" t="s">
        <v>89</v>
      </c>
      <c r="B22" s="50" t="s">
        <v>106</v>
      </c>
      <c r="D22" s="52">
        <f>Assumptions!D16</f>
        <v>0</v>
      </c>
      <c r="E22" s="52">
        <f>Assumptions!E16</f>
        <v>0</v>
      </c>
      <c r="F22" s="52">
        <f>Assumptions!F16</f>
        <v>500</v>
      </c>
      <c r="G22" s="52">
        <f>Assumptions!G16</f>
        <v>500</v>
      </c>
      <c r="H22" s="52">
        <f>Assumptions!H16</f>
        <v>500</v>
      </c>
    </row>
    <row r="23" spans="1:8" ht="15" customHeight="1" thickBot="1">
      <c r="B23" s="65" t="s">
        <v>100</v>
      </c>
      <c r="C23" s="66">
        <v>115000</v>
      </c>
      <c r="D23" s="67">
        <f>Schedules!D20+Schedules!D21-Schedules!D22</f>
        <v>127000</v>
      </c>
      <c r="E23" s="67">
        <f>Schedules!E20+Schedules!E21-Schedules!E22</f>
        <v>139000</v>
      </c>
      <c r="F23" s="67">
        <f>Schedules!F20+Schedules!F21-Schedules!F22</f>
        <v>148500</v>
      </c>
      <c r="G23" s="67">
        <f>Schedules!G20+Schedules!G21-Schedules!G22</f>
        <v>158000</v>
      </c>
      <c r="H23" s="68">
        <f>Schedules!H20+Schedules!H21-Schedules!H22</f>
        <v>165500</v>
      </c>
    </row>
    <row r="24" spans="1:8" ht="15" customHeight="1">
      <c r="B24" s="50"/>
      <c r="C24" s="51"/>
      <c r="D24" s="59"/>
      <c r="E24" s="59"/>
      <c r="F24" s="59"/>
      <c r="G24" s="59"/>
      <c r="H24" s="59"/>
    </row>
    <row r="25" spans="1:8" ht="15" customHeight="1">
      <c r="B25" s="54" t="s">
        <v>6</v>
      </c>
    </row>
    <row r="26" spans="1:8" ht="15" customHeight="1">
      <c r="B26" s="50" t="s">
        <v>101</v>
      </c>
      <c r="C26" s="51"/>
      <c r="D26" s="52">
        <f>Assumptions!C41</f>
        <v>20436</v>
      </c>
      <c r="E26" s="52">
        <f>Schedules!D29</f>
        <v>25036</v>
      </c>
      <c r="F26" s="52">
        <f>Schedules!E29</f>
        <v>30370</v>
      </c>
      <c r="G26" s="52">
        <f>Schedules!F29</f>
        <v>35847</v>
      </c>
      <c r="H26" s="52">
        <f>Schedules!G29</f>
        <v>42029.5</v>
      </c>
    </row>
    <row r="27" spans="1:8" ht="15" customHeight="1">
      <c r="A27" s="53" t="s">
        <v>88</v>
      </c>
      <c r="B27" s="50" t="s">
        <v>102</v>
      </c>
      <c r="D27" s="59">
        <f>Assumptions!D14*Schedules!D20</f>
        <v>4600</v>
      </c>
      <c r="E27" s="59">
        <f>Assumptions!E14*Schedules!E20</f>
        <v>5334</v>
      </c>
      <c r="F27" s="59">
        <f>Assumptions!F14*Schedules!F20</f>
        <v>5976.9999999999991</v>
      </c>
      <c r="G27" s="59">
        <f>Assumptions!G14*Schedules!G20</f>
        <v>6682.5</v>
      </c>
      <c r="H27" s="59">
        <f>Assumptions!H14*Schedules!H20</f>
        <v>7110</v>
      </c>
    </row>
    <row r="28" spans="1:8" ht="15" customHeight="1" thickBot="1">
      <c r="A28" s="53" t="s">
        <v>89</v>
      </c>
      <c r="B28" s="50" t="s">
        <v>103</v>
      </c>
      <c r="D28" s="59">
        <f>Schedules!D22</f>
        <v>0</v>
      </c>
      <c r="E28" s="59">
        <f>Schedules!E22</f>
        <v>0</v>
      </c>
      <c r="F28" s="59">
        <f>Schedules!F22</f>
        <v>500</v>
      </c>
      <c r="G28" s="59">
        <f>Schedules!G22</f>
        <v>500</v>
      </c>
      <c r="H28" s="59">
        <f>Schedules!H22</f>
        <v>500</v>
      </c>
    </row>
    <row r="29" spans="1:8" ht="15" customHeight="1" thickBot="1">
      <c r="B29" s="65" t="s">
        <v>104</v>
      </c>
      <c r="C29" s="66">
        <v>20436</v>
      </c>
      <c r="D29" s="67">
        <f>Schedules!D26+Schedules!D27-Schedules!D28</f>
        <v>25036</v>
      </c>
      <c r="E29" s="67">
        <f>Schedules!E26+Schedules!E27-Schedules!E28</f>
        <v>30370</v>
      </c>
      <c r="F29" s="67">
        <f>Schedules!F26+Schedules!F27-Schedules!F28</f>
        <v>35847</v>
      </c>
      <c r="G29" s="67">
        <f>Schedules!G26+Schedules!G27-Schedules!G28</f>
        <v>42029.5</v>
      </c>
      <c r="H29" s="68">
        <f>Schedules!H26+Schedules!H27-Schedules!H28</f>
        <v>48639.5</v>
      </c>
    </row>
    <row r="30" spans="1:8" ht="15" customHeight="1">
      <c r="B30" s="50"/>
      <c r="C30" s="51"/>
      <c r="D30" s="59"/>
      <c r="E30" s="59"/>
      <c r="F30" s="59"/>
      <c r="G30" s="59"/>
      <c r="H30" s="59"/>
    </row>
    <row r="31" spans="1:8" ht="15" customHeight="1" thickBot="1">
      <c r="B31" s="54" t="s">
        <v>7</v>
      </c>
    </row>
    <row r="32" spans="1:8" ht="15" customHeight="1" thickBot="1">
      <c r="B32" s="65" t="s">
        <v>105</v>
      </c>
      <c r="C32" s="66">
        <v>94564</v>
      </c>
      <c r="D32" s="67">
        <f>Schedules!D23-Schedules!D29</f>
        <v>101964</v>
      </c>
      <c r="E32" s="67">
        <f>Schedules!E23-Schedules!E29</f>
        <v>108630</v>
      </c>
      <c r="F32" s="67">
        <f>Schedules!F23-Schedules!F29</f>
        <v>112653</v>
      </c>
      <c r="G32" s="67">
        <f>Schedules!G23-Schedules!G29</f>
        <v>115970.5</v>
      </c>
      <c r="H32" s="68">
        <f>Schedules!H23-Schedules!H29</f>
        <v>116860.5</v>
      </c>
    </row>
    <row r="35" spans="2:8" ht="15.75" customHeight="1">
      <c r="B35" s="64" t="s">
        <v>107</v>
      </c>
      <c r="C35" s="64"/>
      <c r="D35" s="64"/>
      <c r="E35" s="64"/>
      <c r="F35" s="64"/>
      <c r="G35" s="64"/>
      <c r="H35" s="64"/>
    </row>
    <row r="36" spans="2:8" ht="15" customHeight="1">
      <c r="B36" s="50"/>
    </row>
    <row r="37" spans="2:8" ht="15" customHeight="1">
      <c r="B37" s="50" t="s">
        <v>108</v>
      </c>
      <c r="C37" s="51">
        <v>75955</v>
      </c>
      <c r="D37" s="52">
        <f>'Income Statement'!D5</f>
        <v>85069.6</v>
      </c>
      <c r="E37" s="52">
        <f>'Income Statement'!E5</f>
        <v>94427.256000000008</v>
      </c>
      <c r="F37" s="52">
        <f>'Income Statement'!F5</f>
        <v>103869.98160000001</v>
      </c>
      <c r="G37" s="52">
        <f>'Income Statement'!G5</f>
        <v>114256.97976000003</v>
      </c>
      <c r="H37" s="52">
        <f>'Income Statement'!H5</f>
        <v>124540.10793840005</v>
      </c>
    </row>
    <row r="38" spans="2:8" ht="15" customHeight="1">
      <c r="B38" s="50" t="s">
        <v>109</v>
      </c>
      <c r="C38" s="51">
        <v>47092</v>
      </c>
      <c r="D38" s="52">
        <f>'Income Statement'!D6</f>
        <v>52743.152000000002</v>
      </c>
      <c r="E38" s="52">
        <f>'Income Statement'!E6</f>
        <v>58072.762440000006</v>
      </c>
      <c r="F38" s="52">
        <f>'Income Statement'!F6</f>
        <v>63360.68877600001</v>
      </c>
      <c r="G38" s="52">
        <f>'Income Statement'!G6</f>
        <v>69125.472754800023</v>
      </c>
      <c r="H38" s="52">
        <f>'Income Statement'!H6</f>
        <v>75346.765302732034</v>
      </c>
    </row>
    <row r="39" spans="2:8" ht="15" customHeight="1">
      <c r="B39" s="50"/>
      <c r="C39" s="51"/>
      <c r="D39" s="52"/>
      <c r="E39" s="52"/>
      <c r="F39" s="52"/>
      <c r="G39" s="52"/>
      <c r="H39" s="52"/>
    </row>
    <row r="40" spans="2:8" ht="15" customHeight="1">
      <c r="B40" s="54" t="s">
        <v>8</v>
      </c>
    </row>
    <row r="41" spans="2:8" ht="15" customHeight="1">
      <c r="B41" s="50" t="s">
        <v>110</v>
      </c>
      <c r="C41" s="51">
        <v>5831</v>
      </c>
      <c r="D41" s="59">
        <f>Schedules!D37*Assumptions!D27/365</f>
        <v>6292.8197260273973</v>
      </c>
      <c r="E41" s="59">
        <f>Schedules!E37*Assumptions!E27/365</f>
        <v>6726.3250849315082</v>
      </c>
      <c r="F41" s="59">
        <f>Schedules!F37*Assumptions!F27/365</f>
        <v>7114.3823013698648</v>
      </c>
      <c r="G41" s="59">
        <f>Schedules!G37*Assumptions!G27/365</f>
        <v>7825.8205315068517</v>
      </c>
      <c r="H41" s="59">
        <f>Schedules!H37*Assumptions!H27/365</f>
        <v>8530.1443793424678</v>
      </c>
    </row>
    <row r="42" spans="2:8" ht="15" customHeight="1">
      <c r="B42" s="50" t="s">
        <v>111</v>
      </c>
      <c r="C42" s="51">
        <v>5805</v>
      </c>
      <c r="D42" s="59">
        <f>Schedules!D38*Assumptions!D28/365</f>
        <v>6502.5803835616434</v>
      </c>
      <c r="E42" s="59">
        <f>Schedules!E38*Assumptions!E28/365</f>
        <v>6841.4487258082208</v>
      </c>
      <c r="F42" s="59">
        <f>Schedules!F38*Assumptions!F28/365</f>
        <v>7290.8189824438377</v>
      </c>
      <c r="G42" s="59">
        <f>Schedules!G38*Assumptions!G28/365</f>
        <v>7954.163988223565</v>
      </c>
      <c r="H42" s="59">
        <f>Schedules!H38*Assumptions!H28/365</f>
        <v>8670.0387471636859</v>
      </c>
    </row>
    <row r="43" spans="2:8" ht="15" customHeight="1" thickBot="1">
      <c r="B43" s="50" t="s">
        <v>112</v>
      </c>
      <c r="C43" s="51">
        <v>5013</v>
      </c>
      <c r="D43" s="59">
        <f>Schedules!D37*Assumptions!D30</f>
        <v>5529.5240000000003</v>
      </c>
      <c r="E43" s="59">
        <f>Schedules!E37*Assumptions!E30</f>
        <v>5948.917128000001</v>
      </c>
      <c r="F43" s="59">
        <f>Schedules!F37*Assumptions!F30</f>
        <v>6232.1988960000008</v>
      </c>
      <c r="G43" s="59">
        <f>Schedules!G37*Assumptions!G30</f>
        <v>6855.4187856000017</v>
      </c>
      <c r="H43" s="59">
        <f>Schedules!H37*Assumptions!H30</f>
        <v>7472.4064763040024</v>
      </c>
    </row>
    <row r="44" spans="2:8" ht="15" customHeight="1" thickBot="1">
      <c r="B44" s="65" t="s">
        <v>113</v>
      </c>
      <c r="C44" s="66">
        <v>16649</v>
      </c>
      <c r="D44" s="67">
        <f>SUM(Schedules!D41:D43)</f>
        <v>18324.924109589043</v>
      </c>
      <c r="E44" s="67">
        <f>SUM(Schedules!E41:E43)</f>
        <v>19516.690938739732</v>
      </c>
      <c r="F44" s="67">
        <f>SUM(Schedules!F41:F43)</f>
        <v>20637.400179813703</v>
      </c>
      <c r="G44" s="67">
        <f>SUM(Schedules!G41:G43)</f>
        <v>22635.403305330419</v>
      </c>
      <c r="H44" s="68">
        <f>SUM(Schedules!H41:H43)</f>
        <v>24672.589602810156</v>
      </c>
    </row>
    <row r="45" spans="2:8" ht="15" customHeight="1">
      <c r="B45" s="50"/>
      <c r="C45" s="51"/>
      <c r="D45" s="59"/>
      <c r="E45" s="59"/>
      <c r="F45" s="59"/>
      <c r="G45" s="59"/>
      <c r="H45" s="59"/>
    </row>
    <row r="46" spans="2:8" ht="15" customHeight="1">
      <c r="B46" s="54" t="s">
        <v>9</v>
      </c>
    </row>
    <row r="47" spans="2:8" ht="15" customHeight="1">
      <c r="B47" s="50" t="s">
        <v>114</v>
      </c>
      <c r="C47" s="51">
        <v>7482</v>
      </c>
      <c r="D47" s="59">
        <f>Schedules!D38*Assumptions!D29/365</f>
        <v>8236.6018191780822</v>
      </c>
      <c r="E47" s="59">
        <f>Schedules!E38*Assumptions!E29/365</f>
        <v>8750.6902306849333</v>
      </c>
      <c r="F47" s="59">
        <f>Schedules!F38*Assumptions!F29/365</f>
        <v>9547.5010484383583</v>
      </c>
      <c r="G47" s="59">
        <f>Schedules!G38*Assumptions!G29/365</f>
        <v>10416.167127435619</v>
      </c>
      <c r="H47" s="59">
        <f>Schedules!H38*Assumptions!H29/365</f>
        <v>11353.622168904827</v>
      </c>
    </row>
    <row r="48" spans="2:8" ht="15" customHeight="1" thickBot="1">
      <c r="B48" s="50" t="s">
        <v>115</v>
      </c>
      <c r="C48" s="51">
        <v>7975</v>
      </c>
      <c r="D48" s="59">
        <f>Schedules!D37*Assumptions!D31</f>
        <v>8932.3080000000009</v>
      </c>
      <c r="E48" s="59">
        <f>Schedules!E37*Assumptions!E31</f>
        <v>9726.0073680000005</v>
      </c>
      <c r="F48" s="59">
        <f>Schedules!F37*Assumptions!F31</f>
        <v>10386.998160000003</v>
      </c>
      <c r="G48" s="59">
        <f>Schedules!G37*Assumptions!G31</f>
        <v>11425.697976000003</v>
      </c>
      <c r="H48" s="59">
        <f>Schedules!H37*Assumptions!H31</f>
        <v>12454.010793840005</v>
      </c>
    </row>
    <row r="49" spans="1:8" ht="15" customHeight="1" thickBot="1">
      <c r="B49" s="65" t="s">
        <v>116</v>
      </c>
      <c r="C49" s="66">
        <v>15457</v>
      </c>
      <c r="D49" s="67">
        <f>SUM(Schedules!D47:D48)</f>
        <v>17168.909819178083</v>
      </c>
      <c r="E49" s="67">
        <f>SUM(Schedules!E47:E48)</f>
        <v>18476.697598684936</v>
      </c>
      <c r="F49" s="67">
        <f>SUM(Schedules!F47:F48)</f>
        <v>19934.499208438363</v>
      </c>
      <c r="G49" s="67">
        <f>SUM(Schedules!G47:G48)</f>
        <v>21841.865103435623</v>
      </c>
      <c r="H49" s="68">
        <f>SUM(Schedules!H47:H48)</f>
        <v>23807.632962744832</v>
      </c>
    </row>
    <row r="50" spans="1:8" ht="15" customHeight="1">
      <c r="B50" s="50"/>
      <c r="C50" s="51"/>
      <c r="D50" s="59"/>
      <c r="E50" s="59"/>
      <c r="F50" s="59"/>
      <c r="G50" s="59"/>
      <c r="H50" s="59"/>
    </row>
    <row r="51" spans="1:8" ht="15" customHeight="1">
      <c r="B51" s="54" t="s">
        <v>10</v>
      </c>
    </row>
    <row r="52" spans="1:8" ht="15" customHeight="1">
      <c r="B52" s="50" t="s">
        <v>11</v>
      </c>
      <c r="D52" s="59">
        <f>-(Schedules!D41-Schedules!C41)</f>
        <v>-461.81972602739734</v>
      </c>
      <c r="E52" s="59">
        <f>-(Schedules!E41-Schedules!D41)</f>
        <v>-433.50535890411084</v>
      </c>
      <c r="F52" s="59">
        <f>-(Schedules!F41-Schedules!E41)</f>
        <v>-388.05721643835659</v>
      </c>
      <c r="G52" s="59">
        <f>-(Schedules!G41-Schedules!F41)</f>
        <v>-711.43823013698693</v>
      </c>
      <c r="H52" s="59">
        <f>-(Schedules!H41-Schedules!G41)</f>
        <v>-704.32384783561611</v>
      </c>
    </row>
    <row r="53" spans="1:8" ht="15" customHeight="1">
      <c r="B53" s="50" t="s">
        <v>12</v>
      </c>
      <c r="D53" s="59">
        <f>-(Schedules!D42-Schedules!C42)</f>
        <v>-697.58038356164343</v>
      </c>
      <c r="E53" s="59">
        <f>-(Schedules!E42-Schedules!D42)</f>
        <v>-338.86834224657741</v>
      </c>
      <c r="F53" s="59">
        <f>-(Schedules!F42-Schedules!E42)</f>
        <v>-449.3702566356169</v>
      </c>
      <c r="G53" s="59">
        <f>-(Schedules!G42-Schedules!F42)</f>
        <v>-663.34500577972722</v>
      </c>
      <c r="H53" s="59">
        <f>-(Schedules!H42-Schedules!G42)</f>
        <v>-715.87475894012096</v>
      </c>
    </row>
    <row r="54" spans="1:8" ht="15" customHeight="1">
      <c r="B54" s="50" t="s">
        <v>13</v>
      </c>
      <c r="D54" s="59">
        <f>-(Schedules!D43-Schedules!C43)</f>
        <v>-516.52400000000034</v>
      </c>
      <c r="E54" s="59">
        <f>-(Schedules!E43-Schedules!D43)</f>
        <v>-419.39312800000062</v>
      </c>
      <c r="F54" s="59">
        <f>-(Schedules!F43-Schedules!E43)</f>
        <v>-283.28176799999983</v>
      </c>
      <c r="G54" s="59">
        <f>-(Schedules!G43-Schedules!F43)</f>
        <v>-623.2198896000009</v>
      </c>
      <c r="H54" s="59">
        <f>-(Schedules!H43-Schedules!G43)</f>
        <v>-616.98769070400067</v>
      </c>
    </row>
    <row r="55" spans="1:8" ht="15" customHeight="1">
      <c r="B55" s="50" t="s">
        <v>14</v>
      </c>
      <c r="D55" s="59">
        <f>Schedules!D47-Schedules!C47</f>
        <v>754.60181917808222</v>
      </c>
      <c r="E55" s="59">
        <f>Schedules!E47-Schedules!D47</f>
        <v>514.08841150685112</v>
      </c>
      <c r="F55" s="59">
        <f>Schedules!F47-Schedules!E47</f>
        <v>796.810817753425</v>
      </c>
      <c r="G55" s="59">
        <f>Schedules!G47-Schedules!F47</f>
        <v>868.66607899726114</v>
      </c>
      <c r="H55" s="59">
        <f>Schedules!H47-Schedules!G47</f>
        <v>937.45504146920757</v>
      </c>
    </row>
    <row r="56" spans="1:8" ht="15" customHeight="1">
      <c r="B56" s="50" t="s">
        <v>15</v>
      </c>
      <c r="D56" s="59">
        <f>Schedules!D48-Schedules!C48</f>
        <v>957.3080000000009</v>
      </c>
      <c r="E56" s="59">
        <f>Schedules!E48-Schedules!D48</f>
        <v>793.69936799999959</v>
      </c>
      <c r="F56" s="59">
        <f>Schedules!F48-Schedules!E48</f>
        <v>660.99079200000233</v>
      </c>
      <c r="G56" s="59">
        <f>Schedules!G48-Schedules!F48</f>
        <v>1038.6998160000003</v>
      </c>
      <c r="H56" s="59">
        <f>Schedules!H48-Schedules!G48</f>
        <v>1028.312817840002</v>
      </c>
    </row>
    <row r="59" spans="1:8" ht="15.75" customHeight="1">
      <c r="B59" s="95" t="s">
        <v>117</v>
      </c>
      <c r="C59" s="95"/>
      <c r="D59" s="95"/>
      <c r="E59" s="95"/>
      <c r="F59" s="95"/>
      <c r="G59" s="95"/>
      <c r="H59" s="95"/>
    </row>
    <row r="60" spans="1:8" ht="15.75" customHeight="1">
      <c r="B60" s="60"/>
      <c r="C60" s="60"/>
      <c r="D60" s="60"/>
      <c r="E60" s="60"/>
      <c r="F60" s="60"/>
      <c r="G60" s="60"/>
      <c r="H60" s="60"/>
    </row>
    <row r="61" spans="1:8" ht="15" customHeight="1">
      <c r="B61" s="54" t="s">
        <v>16</v>
      </c>
    </row>
    <row r="62" spans="1:8" ht="15" customHeight="1">
      <c r="B62" s="50" t="s">
        <v>118</v>
      </c>
      <c r="D62" s="52">
        <f>Schedules!C65</f>
        <v>295</v>
      </c>
      <c r="E62" s="52">
        <f>Schedules!D65</f>
        <v>295</v>
      </c>
      <c r="F62" s="52">
        <f>Schedules!E65</f>
        <v>295</v>
      </c>
      <c r="G62" s="52">
        <f>Schedules!F65</f>
        <v>295</v>
      </c>
      <c r="H62" s="52">
        <f>Schedules!G65</f>
        <v>295</v>
      </c>
    </row>
    <row r="63" spans="1:8" ht="15" customHeight="1">
      <c r="A63" s="53" t="s">
        <v>88</v>
      </c>
      <c r="B63" s="50" t="s">
        <v>41</v>
      </c>
      <c r="D63" s="52">
        <f>Assumptions!D23</f>
        <v>0</v>
      </c>
      <c r="E63" s="52">
        <f>Assumptions!E23</f>
        <v>0</v>
      </c>
      <c r="F63" s="52">
        <f>Assumptions!F23</f>
        <v>0</v>
      </c>
      <c r="G63" s="52">
        <f>Assumptions!G23</f>
        <v>0</v>
      </c>
      <c r="H63" s="52">
        <f>Assumptions!H23</f>
        <v>0</v>
      </c>
    </row>
    <row r="64" spans="1:8" ht="15" customHeight="1" thickBot="1">
      <c r="A64" s="53" t="s">
        <v>89</v>
      </c>
      <c r="B64" s="50" t="s">
        <v>119</v>
      </c>
      <c r="D64" s="52">
        <f>Assumptions!D24</f>
        <v>0</v>
      </c>
      <c r="E64" s="52">
        <f>Assumptions!E24</f>
        <v>0</v>
      </c>
      <c r="F64" s="52">
        <f>Assumptions!F24</f>
        <v>0</v>
      </c>
      <c r="G64" s="52">
        <f>Assumptions!G24</f>
        <v>0</v>
      </c>
      <c r="H64" s="52">
        <f>Assumptions!H24</f>
        <v>0</v>
      </c>
    </row>
    <row r="65" spans="1:8" ht="15" customHeight="1" thickBot="1">
      <c r="B65" s="65" t="s">
        <v>120</v>
      </c>
      <c r="C65" s="66">
        <v>295</v>
      </c>
      <c r="D65" s="67">
        <f>Schedules!D62+Schedules!D63-Schedules!D64</f>
        <v>295</v>
      </c>
      <c r="E65" s="67">
        <f>Schedules!E62+Schedules!E63-Schedules!E64</f>
        <v>295</v>
      </c>
      <c r="F65" s="67">
        <f>Schedules!F62+Schedules!F63-Schedules!F64</f>
        <v>295</v>
      </c>
      <c r="G65" s="67">
        <f>Schedules!G62+Schedules!G63-Schedules!G64</f>
        <v>295</v>
      </c>
      <c r="H65" s="68">
        <f>Schedules!H62+Schedules!H63-Schedules!H64</f>
        <v>295</v>
      </c>
    </row>
    <row r="66" spans="1:8" ht="15" customHeight="1">
      <c r="B66" s="50"/>
      <c r="C66" s="51"/>
      <c r="D66" s="59"/>
      <c r="E66" s="59"/>
      <c r="F66" s="59"/>
      <c r="G66" s="59"/>
      <c r="H66" s="59"/>
    </row>
    <row r="67" spans="1:8" ht="15" customHeight="1">
      <c r="B67" s="54" t="s">
        <v>17</v>
      </c>
    </row>
    <row r="68" spans="1:8" ht="15" customHeight="1">
      <c r="B68" s="50" t="s">
        <v>121</v>
      </c>
      <c r="D68" s="52">
        <f>Schedules!C71</f>
        <v>70412</v>
      </c>
      <c r="E68" s="52">
        <f>Schedules!D71</f>
        <v>74497.968950000009</v>
      </c>
      <c r="F68" s="52">
        <f>Schedules!E71</f>
        <v>79637.385225500009</v>
      </c>
      <c r="G68" s="52">
        <f>Schedules!F71</f>
        <v>86078.177172530006</v>
      </c>
      <c r="H68" s="52">
        <f>Schedules!G71</f>
        <v>93628.969225460009</v>
      </c>
    </row>
    <row r="69" spans="1:8" ht="15" customHeight="1">
      <c r="A69" s="53" t="s">
        <v>88</v>
      </c>
      <c r="B69" s="50" t="s">
        <v>27</v>
      </c>
      <c r="D69" s="52">
        <f>'Income Statement'!D17</f>
        <v>6590.2725000000028</v>
      </c>
      <c r="E69" s="52">
        <f>'Income Statement'!E17</f>
        <v>7906.7942700000003</v>
      </c>
      <c r="F69" s="52">
        <f>'Income Statement'!F17</f>
        <v>9613.1223090000021</v>
      </c>
      <c r="G69" s="52">
        <f>'Income Statement'!G17</f>
        <v>10786.845789900002</v>
      </c>
      <c r="H69" s="52">
        <f>'Income Statement'!H17</f>
        <v>11686.852881222003</v>
      </c>
    </row>
    <row r="70" spans="1:8" ht="15" customHeight="1" thickBot="1">
      <c r="A70" s="53" t="s">
        <v>89</v>
      </c>
      <c r="B70" s="50" t="s">
        <v>122</v>
      </c>
      <c r="D70" s="59">
        <f>'Income Statement'!D17*Assumptions!D11</f>
        <v>2504.303550000001</v>
      </c>
      <c r="E70" s="59">
        <f>'Income Statement'!E17*Assumptions!E11</f>
        <v>2767.3779945000001</v>
      </c>
      <c r="F70" s="59">
        <f>'Income Statement'!F17*Assumptions!F11</f>
        <v>3172.3303619700009</v>
      </c>
      <c r="G70" s="59">
        <f>'Income Statement'!G17*Assumptions!G11</f>
        <v>3236.0537369700005</v>
      </c>
      <c r="H70" s="59">
        <f>'Income Statement'!H17*Assumptions!H11</f>
        <v>3506.0558643666009</v>
      </c>
    </row>
    <row r="71" spans="1:8" ht="15" customHeight="1" thickBot="1">
      <c r="B71" s="65" t="s">
        <v>123</v>
      </c>
      <c r="C71" s="66">
        <v>70412</v>
      </c>
      <c r="D71" s="67">
        <f>Schedules!D68+Schedules!D69-Schedules!D70</f>
        <v>74497.968950000009</v>
      </c>
      <c r="E71" s="67">
        <f>Schedules!E68+Schedules!E69-Schedules!E70</f>
        <v>79637.385225500009</v>
      </c>
      <c r="F71" s="67">
        <f>Schedules!F68+Schedules!F69-Schedules!F70</f>
        <v>86078.177172530006</v>
      </c>
      <c r="G71" s="67">
        <f>Schedules!G68+Schedules!G69-Schedules!G70</f>
        <v>93628.969225460009</v>
      </c>
      <c r="H71" s="68">
        <f>Schedules!H68+Schedules!H69-Schedules!H70</f>
        <v>101809.76624231541</v>
      </c>
    </row>
    <row r="72" spans="1:8" ht="15" customHeight="1">
      <c r="B72" s="50"/>
      <c r="C72" s="51"/>
      <c r="D72" s="59"/>
      <c r="E72" s="59"/>
      <c r="F72" s="59"/>
      <c r="G72" s="59"/>
      <c r="H72" s="59"/>
    </row>
    <row r="73" spans="1:8" ht="15" customHeight="1" thickBot="1">
      <c r="B73" s="54" t="s">
        <v>18</v>
      </c>
    </row>
    <row r="74" spans="1:8" ht="15" customHeight="1" thickBot="1">
      <c r="B74" s="65" t="s">
        <v>124</v>
      </c>
      <c r="C74" s="66">
        <v>70707</v>
      </c>
      <c r="D74" s="67">
        <f>Schedules!D65+Schedules!D71</f>
        <v>74792.968950000009</v>
      </c>
      <c r="E74" s="67">
        <f>Schedules!E65+Schedules!E71</f>
        <v>79932.385225500009</v>
      </c>
      <c r="F74" s="67">
        <f>Schedules!F65+Schedules!F71</f>
        <v>86373.177172530006</v>
      </c>
      <c r="G74" s="67">
        <f>Schedules!G65+Schedules!G71</f>
        <v>93923.969225460009</v>
      </c>
      <c r="H74" s="68">
        <f>Schedules!H65+Schedules!H71</f>
        <v>102104.76624231541</v>
      </c>
    </row>
  </sheetData>
  <mergeCells count="1">
    <mergeCell ref="B59:H5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H35"/>
  <sheetViews>
    <sheetView showGridLines="0" zoomScale="115" zoomScaleNormal="115" workbookViewId="0">
      <pane ySplit="3" topLeftCell="A5" activePane="bottomLeft" state="frozen"/>
      <selection sqref="A1:XFD3"/>
      <selection pane="bottomLeft" sqref="A1:XFD3"/>
    </sheetView>
  </sheetViews>
  <sheetFormatPr defaultColWidth="8.6640625" defaultRowHeight="14.4"/>
  <cols>
    <col min="1" max="1" width="8.6640625" style="38"/>
    <col min="2" max="2" width="45" style="44" customWidth="1"/>
    <col min="3" max="3" width="16" style="44" customWidth="1"/>
    <col min="4" max="8" width="13" style="44" customWidth="1"/>
    <col min="9" max="16384" width="8.6640625" style="44"/>
  </cols>
  <sheetData>
    <row r="1" spans="1:8" ht="25.5" customHeight="1">
      <c r="B1" s="39" t="s">
        <v>125</v>
      </c>
      <c r="C1" s="40"/>
      <c r="D1" s="41"/>
      <c r="E1" s="42"/>
      <c r="F1" s="43" t="s">
        <v>19</v>
      </c>
      <c r="G1" s="42"/>
      <c r="H1" s="42"/>
    </row>
    <row r="2" spans="1:8" ht="13.5" customHeight="1">
      <c r="C2" s="45"/>
      <c r="D2" s="42"/>
      <c r="E2" s="46"/>
      <c r="F2" s="46"/>
      <c r="G2" s="46"/>
      <c r="H2" s="46"/>
    </row>
    <row r="3" spans="1:8" ht="18" customHeight="1">
      <c r="B3" s="47" t="s">
        <v>55</v>
      </c>
      <c r="C3" s="48">
        <v>2025</v>
      </c>
      <c r="D3" s="49">
        <f>C3+1</f>
        <v>2026</v>
      </c>
      <c r="E3" s="49">
        <f t="shared" ref="E3:H3" si="0">D3+1</f>
        <v>2027</v>
      </c>
      <c r="F3" s="49">
        <f t="shared" si="0"/>
        <v>2028</v>
      </c>
      <c r="G3" s="49">
        <f t="shared" si="0"/>
        <v>2029</v>
      </c>
      <c r="H3" s="49">
        <f t="shared" si="0"/>
        <v>2030</v>
      </c>
    </row>
    <row r="5" spans="1:8" ht="15.75" customHeight="1">
      <c r="B5" s="95" t="s">
        <v>126</v>
      </c>
      <c r="C5" s="95"/>
      <c r="D5" s="95"/>
      <c r="E5" s="95"/>
      <c r="F5" s="95"/>
      <c r="G5" s="95"/>
      <c r="H5" s="95"/>
    </row>
    <row r="6" spans="1:8" ht="15" customHeight="1">
      <c r="B6" s="50" t="s">
        <v>27</v>
      </c>
      <c r="C6" s="51">
        <v>6040</v>
      </c>
      <c r="D6" s="52">
        <f>'Income Statement'!D17</f>
        <v>6590.2725000000028</v>
      </c>
      <c r="E6" s="52">
        <f>'Income Statement'!E17</f>
        <v>7906.7942700000003</v>
      </c>
      <c r="F6" s="52">
        <f>'Income Statement'!F17</f>
        <v>9613.1223090000021</v>
      </c>
      <c r="G6" s="52">
        <f>'Income Statement'!G17</f>
        <v>10786.845789900002</v>
      </c>
      <c r="H6" s="52">
        <f>'Income Statement'!H17</f>
        <v>11686.852881222003</v>
      </c>
    </row>
    <row r="7" spans="1:8" ht="15" customHeight="1">
      <c r="A7" s="53" t="s">
        <v>88</v>
      </c>
      <c r="B7" s="50" t="s">
        <v>127</v>
      </c>
      <c r="C7" s="51">
        <v>4015</v>
      </c>
      <c r="D7" s="52">
        <f>Schedules!D27</f>
        <v>4600</v>
      </c>
      <c r="E7" s="52">
        <f>Schedules!E27</f>
        <v>5334</v>
      </c>
      <c r="F7" s="52">
        <f>Schedules!F27</f>
        <v>5976.9999999999991</v>
      </c>
      <c r="G7" s="52">
        <f>Schedules!G27</f>
        <v>6682.5</v>
      </c>
      <c r="H7" s="52">
        <f>Schedules!H27</f>
        <v>7110</v>
      </c>
    </row>
    <row r="8" spans="1:8" ht="13.5" customHeight="1">
      <c r="B8" s="54" t="s">
        <v>28</v>
      </c>
      <c r="C8" s="50"/>
    </row>
    <row r="9" spans="1:8" ht="15" customHeight="1">
      <c r="B9" s="50" t="s">
        <v>29</v>
      </c>
      <c r="C9" s="51">
        <v>0</v>
      </c>
      <c r="D9" s="52">
        <f>Schedules!D52</f>
        <v>-461.81972602739734</v>
      </c>
      <c r="E9" s="52">
        <f>Schedules!E52</f>
        <v>-433.50535890411084</v>
      </c>
      <c r="F9" s="52">
        <f>Schedules!F52</f>
        <v>-388.05721643835659</v>
      </c>
      <c r="G9" s="52">
        <f>Schedules!G52</f>
        <v>-711.43823013698693</v>
      </c>
      <c r="H9" s="52">
        <f>Schedules!H52</f>
        <v>-704.32384783561611</v>
      </c>
    </row>
    <row r="10" spans="1:8" ht="15" customHeight="1">
      <c r="B10" s="50" t="s">
        <v>30</v>
      </c>
      <c r="C10" s="51">
        <v>0</v>
      </c>
      <c r="D10" s="52">
        <f>Schedules!D53</f>
        <v>-697.58038356164343</v>
      </c>
      <c r="E10" s="52">
        <f>Schedules!E53</f>
        <v>-338.86834224657741</v>
      </c>
      <c r="F10" s="52">
        <f>Schedules!F53</f>
        <v>-449.3702566356169</v>
      </c>
      <c r="G10" s="52">
        <f>Schedules!G53</f>
        <v>-663.34500577972722</v>
      </c>
      <c r="H10" s="52">
        <f>Schedules!H53</f>
        <v>-715.87475894012096</v>
      </c>
    </row>
    <row r="11" spans="1:8" ht="15" customHeight="1">
      <c r="B11" s="50" t="s">
        <v>31</v>
      </c>
      <c r="C11" s="51">
        <v>0</v>
      </c>
      <c r="D11" s="52">
        <f>Schedules!D54</f>
        <v>-516.52400000000034</v>
      </c>
      <c r="E11" s="52">
        <f>Schedules!E54</f>
        <v>-419.39312800000062</v>
      </c>
      <c r="F11" s="52">
        <f>Schedules!F54</f>
        <v>-283.28176799999983</v>
      </c>
      <c r="G11" s="52">
        <f>Schedules!G54</f>
        <v>-623.2198896000009</v>
      </c>
      <c r="H11" s="52">
        <f>Schedules!H54</f>
        <v>-616.98769070400067</v>
      </c>
    </row>
    <row r="12" spans="1:8" ht="15" customHeight="1">
      <c r="B12" s="50" t="s">
        <v>32</v>
      </c>
      <c r="C12" s="51">
        <v>0</v>
      </c>
      <c r="D12" s="52">
        <f>Schedules!D55</f>
        <v>754.60181917808222</v>
      </c>
      <c r="E12" s="52">
        <f>Schedules!E55</f>
        <v>514.08841150685112</v>
      </c>
      <c r="F12" s="52">
        <f>Schedules!F55</f>
        <v>796.810817753425</v>
      </c>
      <c r="G12" s="52">
        <f>Schedules!G55</f>
        <v>868.66607899726114</v>
      </c>
      <c r="H12" s="52">
        <f>Schedules!H55</f>
        <v>937.45504146920757</v>
      </c>
    </row>
    <row r="13" spans="1:8" ht="15" customHeight="1" thickBot="1">
      <c r="B13" s="50" t="s">
        <v>33</v>
      </c>
      <c r="C13" s="51">
        <v>0</v>
      </c>
      <c r="D13" s="52">
        <f>Schedules!D56</f>
        <v>957.3080000000009</v>
      </c>
      <c r="E13" s="52">
        <f>Schedules!E56</f>
        <v>793.69936799999959</v>
      </c>
      <c r="F13" s="52">
        <f>Schedules!F56</f>
        <v>660.99079200000233</v>
      </c>
      <c r="G13" s="52">
        <f>Schedules!G56</f>
        <v>1038.6998160000003</v>
      </c>
      <c r="H13" s="52">
        <f>Schedules!H56</f>
        <v>1028.312817840002</v>
      </c>
    </row>
    <row r="14" spans="1:8" ht="15" customHeight="1" thickBot="1">
      <c r="B14" s="55" t="s">
        <v>34</v>
      </c>
      <c r="C14" s="56">
        <v>10673</v>
      </c>
      <c r="D14" s="57">
        <f>SUM('Cash Flow'!D6:D7)+SUM('Cash Flow'!D9:D13)</f>
        <v>11226.258209589045</v>
      </c>
      <c r="E14" s="57">
        <f>SUM('Cash Flow'!E6:E7)+SUM('Cash Flow'!E9:E13)</f>
        <v>13356.815220356162</v>
      </c>
      <c r="F14" s="57">
        <f>SUM('Cash Flow'!F6:F7)+SUM('Cash Flow'!F9:F13)</f>
        <v>15927.214677679456</v>
      </c>
      <c r="G14" s="57">
        <f>SUM('Cash Flow'!G6:G7)+SUM('Cash Flow'!G9:G13)</f>
        <v>17378.70855938055</v>
      </c>
      <c r="H14" s="58">
        <f>SUM('Cash Flow'!H6:H7)+SUM('Cash Flow'!H9:H13)</f>
        <v>18725.434443051476</v>
      </c>
    </row>
    <row r="16" spans="1:8" ht="15.75" customHeight="1">
      <c r="B16" s="95" t="s">
        <v>128</v>
      </c>
      <c r="C16" s="95"/>
      <c r="D16" s="95"/>
      <c r="E16" s="95"/>
      <c r="F16" s="95"/>
      <c r="G16" s="95"/>
      <c r="H16" s="95"/>
    </row>
    <row r="17" spans="1:8" ht="15" customHeight="1">
      <c r="B17" s="50" t="s">
        <v>35</v>
      </c>
      <c r="D17" s="59">
        <f>-Assumptions!D15</f>
        <v>-12000</v>
      </c>
      <c r="E17" s="59">
        <f>-Assumptions!E15</f>
        <v>-12000</v>
      </c>
      <c r="F17" s="59">
        <f>-Assumptions!F15</f>
        <v>-10000</v>
      </c>
      <c r="G17" s="59">
        <f>-Assumptions!G15</f>
        <v>-10000</v>
      </c>
      <c r="H17" s="59">
        <f>-Assumptions!H15</f>
        <v>-8000</v>
      </c>
    </row>
    <row r="18" spans="1:8" ht="15" customHeight="1">
      <c r="B18" s="50" t="s">
        <v>36</v>
      </c>
      <c r="D18" s="59">
        <f>-(Assumptions!D17-Assumptions!C17)</f>
        <v>-766</v>
      </c>
      <c r="E18" s="59">
        <f>-(Assumptions!E17-Assumptions!D17)</f>
        <v>0</v>
      </c>
      <c r="F18" s="59">
        <f>-(Assumptions!F17-Assumptions!E17)</f>
        <v>1000</v>
      </c>
      <c r="G18" s="59">
        <f>-(Assumptions!G17-Assumptions!F17)</f>
        <v>1000</v>
      </c>
      <c r="H18" s="59">
        <f>-(Assumptions!H17-Assumptions!G17)</f>
        <v>1000</v>
      </c>
    </row>
    <row r="19" spans="1:8" ht="15" customHeight="1">
      <c r="B19" s="50" t="s">
        <v>37</v>
      </c>
      <c r="D19" s="59">
        <f>-(Assumptions!D34-Assumptions!C34)</f>
        <v>-344</v>
      </c>
      <c r="E19" s="59">
        <f>-(Assumptions!E34-Assumptions!D34)</f>
        <v>0</v>
      </c>
      <c r="F19" s="59">
        <f>-(Assumptions!F34-Assumptions!E34)</f>
        <v>500</v>
      </c>
      <c r="G19" s="59">
        <f>-(Assumptions!G34-Assumptions!F34)</f>
        <v>0</v>
      </c>
      <c r="H19" s="59">
        <f>-(Assumptions!H34-Assumptions!G34)</f>
        <v>0</v>
      </c>
    </row>
    <row r="20" spans="1:8" ht="15" customHeight="1" thickBot="1">
      <c r="B20" s="50" t="s">
        <v>38</v>
      </c>
      <c r="D20" s="59">
        <f>0</f>
        <v>0</v>
      </c>
      <c r="E20" s="59">
        <f>0</f>
        <v>0</v>
      </c>
      <c r="F20" s="59">
        <f>0</f>
        <v>0</v>
      </c>
      <c r="G20" s="59">
        <f>0</f>
        <v>0</v>
      </c>
      <c r="H20" s="59">
        <f>0</f>
        <v>0</v>
      </c>
    </row>
    <row r="21" spans="1:8" ht="15" customHeight="1" thickBot="1">
      <c r="B21" s="55" t="s">
        <v>39</v>
      </c>
      <c r="C21" s="56">
        <v>-15836</v>
      </c>
      <c r="D21" s="57">
        <f>SUM('Cash Flow'!D17:D20)</f>
        <v>-13110</v>
      </c>
      <c r="E21" s="57">
        <f>SUM('Cash Flow'!E17:E20)</f>
        <v>-12000</v>
      </c>
      <c r="F21" s="57">
        <f>SUM('Cash Flow'!F17:F20)</f>
        <v>-8500</v>
      </c>
      <c r="G21" s="57">
        <f>SUM('Cash Flow'!G17:G20)</f>
        <v>-9000</v>
      </c>
      <c r="H21" s="58">
        <f>SUM('Cash Flow'!H17:H20)</f>
        <v>-7000</v>
      </c>
    </row>
    <row r="23" spans="1:8" ht="15.75" customHeight="1">
      <c r="B23" s="95" t="s">
        <v>129</v>
      </c>
      <c r="C23" s="95"/>
      <c r="D23" s="95"/>
      <c r="E23" s="95"/>
      <c r="F23" s="95"/>
      <c r="G23" s="95"/>
      <c r="H23" s="95"/>
    </row>
    <row r="24" spans="1:8" ht="15" customHeight="1">
      <c r="B24" s="50" t="s">
        <v>40</v>
      </c>
      <c r="D24" s="52">
        <f>Assumptions!D21</f>
        <v>5000</v>
      </c>
      <c r="E24" s="52">
        <f>Assumptions!E21</f>
        <v>3000</v>
      </c>
      <c r="F24" s="52">
        <f>Assumptions!F21</f>
        <v>0</v>
      </c>
      <c r="G24" s="52">
        <f>Assumptions!G21</f>
        <v>0</v>
      </c>
      <c r="H24" s="52">
        <f>Assumptions!H21</f>
        <v>0</v>
      </c>
    </row>
    <row r="25" spans="1:8" ht="15" customHeight="1">
      <c r="A25" s="53" t="s">
        <v>89</v>
      </c>
      <c r="B25" s="50" t="s">
        <v>90</v>
      </c>
      <c r="D25" s="59">
        <f>-Assumptions!D22</f>
        <v>-2000</v>
      </c>
      <c r="E25" s="59">
        <f>-Assumptions!E22</f>
        <v>-3000</v>
      </c>
      <c r="F25" s="59">
        <f>-Assumptions!F22</f>
        <v>-3000</v>
      </c>
      <c r="G25" s="59">
        <f>-Assumptions!G22</f>
        <v>-3000</v>
      </c>
      <c r="H25" s="59">
        <f>-Assumptions!H22</f>
        <v>-3000</v>
      </c>
    </row>
    <row r="26" spans="1:8" ht="15" customHeight="1">
      <c r="B26" s="50" t="s">
        <v>41</v>
      </c>
      <c r="D26" s="52">
        <f>Assumptions!D23</f>
        <v>0</v>
      </c>
      <c r="E26" s="52">
        <f>Assumptions!E23</f>
        <v>0</v>
      </c>
      <c r="F26" s="52">
        <f>Assumptions!F23</f>
        <v>0</v>
      </c>
      <c r="G26" s="52">
        <f>Assumptions!G23</f>
        <v>0</v>
      </c>
      <c r="H26" s="52">
        <f>Assumptions!H23</f>
        <v>0</v>
      </c>
    </row>
    <row r="27" spans="1:8" ht="15" customHeight="1">
      <c r="A27" s="53" t="s">
        <v>89</v>
      </c>
      <c r="B27" s="50" t="s">
        <v>119</v>
      </c>
      <c r="D27" s="59">
        <f>-Assumptions!D24</f>
        <v>0</v>
      </c>
      <c r="E27" s="59">
        <f>-Assumptions!E24</f>
        <v>0</v>
      </c>
      <c r="F27" s="59">
        <f>-Assumptions!F24</f>
        <v>0</v>
      </c>
      <c r="G27" s="59">
        <f>-Assumptions!G24</f>
        <v>0</v>
      </c>
      <c r="H27" s="59">
        <f>-Assumptions!H24</f>
        <v>0</v>
      </c>
    </row>
    <row r="28" spans="1:8" ht="15" customHeight="1" thickBot="1">
      <c r="A28" s="53" t="s">
        <v>89</v>
      </c>
      <c r="B28" s="50" t="s">
        <v>130</v>
      </c>
      <c r="D28" s="59">
        <f>-(Schedules!D70)</f>
        <v>-2504.303550000001</v>
      </c>
      <c r="E28" s="59">
        <f>-(Schedules!E70)</f>
        <v>-2767.3779945000001</v>
      </c>
      <c r="F28" s="59">
        <f>-(Schedules!F70)</f>
        <v>-3172.3303619700009</v>
      </c>
      <c r="G28" s="59">
        <f>-(Schedules!G70)</f>
        <v>-3236.0537369700005</v>
      </c>
      <c r="H28" s="59">
        <f>-(Schedules!H70)</f>
        <v>-3506.0558643666009</v>
      </c>
    </row>
    <row r="29" spans="1:8" ht="15" customHeight="1" thickBot="1">
      <c r="B29" s="55" t="s">
        <v>42</v>
      </c>
      <c r="C29" s="56">
        <v>5076</v>
      </c>
      <c r="D29" s="57">
        <f>SUM('Cash Flow'!D24:D28)</f>
        <v>495.696449999999</v>
      </c>
      <c r="E29" s="57">
        <f>SUM('Cash Flow'!E24:E28)</f>
        <v>-2767.3779945000001</v>
      </c>
      <c r="F29" s="57">
        <f>SUM('Cash Flow'!F24:F28)</f>
        <v>-6172.3303619700009</v>
      </c>
      <c r="G29" s="57">
        <f>SUM('Cash Flow'!G24:G28)</f>
        <v>-6236.0537369700005</v>
      </c>
      <c r="H29" s="58">
        <f>SUM('Cash Flow'!H24:H28)</f>
        <v>-6506.0558643666009</v>
      </c>
    </row>
    <row r="31" spans="1:8" ht="15.75" customHeight="1">
      <c r="B31" s="95" t="s">
        <v>131</v>
      </c>
      <c r="C31" s="95"/>
      <c r="D31" s="95"/>
      <c r="E31" s="95"/>
      <c r="F31" s="95"/>
      <c r="G31" s="95"/>
      <c r="H31" s="95"/>
    </row>
    <row r="32" spans="1:8" ht="15.75" customHeight="1">
      <c r="B32" s="60"/>
      <c r="C32" s="60"/>
      <c r="D32" s="60"/>
      <c r="E32" s="60"/>
      <c r="F32" s="60"/>
      <c r="G32" s="60"/>
      <c r="H32" s="60"/>
    </row>
    <row r="33" spans="2:8" ht="15" customHeight="1">
      <c r="B33" s="61" t="s">
        <v>43</v>
      </c>
      <c r="C33" s="62">
        <v>-86</v>
      </c>
      <c r="D33" s="63">
        <f>'Cash Flow'!D14+'Cash Flow'!D21+'Cash Flow'!D29</f>
        <v>-1388.0453404109562</v>
      </c>
      <c r="E33" s="63">
        <f>'Cash Flow'!E14+'Cash Flow'!E21+'Cash Flow'!E29</f>
        <v>-1410.5627741438379</v>
      </c>
      <c r="F33" s="63">
        <f>'Cash Flow'!F14+'Cash Flow'!F21+'Cash Flow'!F29</f>
        <v>1254.8843157094552</v>
      </c>
      <c r="G33" s="63">
        <f>'Cash Flow'!G14+'Cash Flow'!G21+'Cash Flow'!G29</f>
        <v>2142.6548224105491</v>
      </c>
      <c r="H33" s="63">
        <f>'Cash Flow'!H14+'Cash Flow'!H21+'Cash Flow'!H29</f>
        <v>5219.3785786848748</v>
      </c>
    </row>
    <row r="34" spans="2:8" ht="15" customHeight="1" thickBot="1">
      <c r="B34" s="50" t="s">
        <v>132</v>
      </c>
      <c r="C34" s="51">
        <v>2586</v>
      </c>
      <c r="D34" s="52">
        <f>'Cash Flow'!C35</f>
        <v>2500</v>
      </c>
      <c r="E34" s="52">
        <f>'Cash Flow'!D35</f>
        <v>1111.9546595890438</v>
      </c>
      <c r="F34" s="52">
        <f>'Cash Flow'!E35</f>
        <v>-298.60811455479416</v>
      </c>
      <c r="G34" s="52">
        <f>'Cash Flow'!F35</f>
        <v>956.27620115466107</v>
      </c>
      <c r="H34" s="52">
        <f>'Cash Flow'!G35</f>
        <v>3098.9310235652101</v>
      </c>
    </row>
    <row r="35" spans="2:8" ht="15" customHeight="1" thickBot="1">
      <c r="B35" s="55" t="s">
        <v>44</v>
      </c>
      <c r="C35" s="56">
        <v>2500</v>
      </c>
      <c r="D35" s="57">
        <f>'Cash Flow'!D34+'Cash Flow'!D33</f>
        <v>1111.9546595890438</v>
      </c>
      <c r="E35" s="57">
        <f>'Cash Flow'!E34+'Cash Flow'!E33</f>
        <v>-298.60811455479416</v>
      </c>
      <c r="F35" s="57">
        <f>'Cash Flow'!F34+'Cash Flow'!F33</f>
        <v>956.27620115466107</v>
      </c>
      <c r="G35" s="57">
        <f>'Cash Flow'!G34+'Cash Flow'!G33</f>
        <v>3098.9310235652101</v>
      </c>
      <c r="H35" s="58">
        <f>'Cash Flow'!H34+'Cash Flow'!H33</f>
        <v>8318.3096022500849</v>
      </c>
    </row>
  </sheetData>
  <mergeCells count="4">
    <mergeCell ref="B31:H31"/>
    <mergeCell ref="B5:H5"/>
    <mergeCell ref="B16:H16"/>
    <mergeCell ref="B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6843-3962-4AB0-9291-463EC753A25C}">
  <dimension ref="A1:J43"/>
  <sheetViews>
    <sheetView showGridLines="0" topLeftCell="A8" workbookViewId="0">
      <selection activeCell="L24" sqref="L24"/>
    </sheetView>
  </sheetViews>
  <sheetFormatPr defaultRowHeight="14.4"/>
  <cols>
    <col min="2" max="2" width="30.33203125" customWidth="1"/>
    <col min="3" max="3" width="24.109375" bestFit="1" customWidth="1"/>
    <col min="4" max="4" width="13.88671875" customWidth="1"/>
    <col min="5" max="10" width="16.33203125" customWidth="1"/>
  </cols>
  <sheetData>
    <row r="1" spans="1:10" s="44" customFormat="1" ht="25.5" customHeight="1">
      <c r="A1" s="38"/>
      <c r="B1" s="39" t="s">
        <v>222</v>
      </c>
      <c r="C1" s="40"/>
      <c r="D1" s="41"/>
      <c r="E1" s="42"/>
      <c r="F1" s="43"/>
      <c r="G1" s="42"/>
      <c r="H1" s="42"/>
    </row>
    <row r="2" spans="1:10" s="44" customFormat="1" ht="13.5" customHeight="1">
      <c r="A2" s="38"/>
      <c r="C2" s="45"/>
      <c r="D2" s="42"/>
      <c r="E2" s="46"/>
      <c r="F2" s="46"/>
      <c r="G2" s="46"/>
      <c r="H2" s="46"/>
    </row>
    <row r="3" spans="1:10" s="44" customFormat="1" ht="18" customHeight="1">
      <c r="A3" s="38"/>
      <c r="B3" s="47" t="s">
        <v>55</v>
      </c>
      <c r="C3" s="47"/>
      <c r="D3" s="47"/>
      <c r="E3" s="48">
        <v>2025</v>
      </c>
      <c r="F3" s="49">
        <f>E3+1</f>
        <v>2026</v>
      </c>
      <c r="G3" s="49">
        <f t="shared" ref="G3:J3" si="0">F3+1</f>
        <v>2027</v>
      </c>
      <c r="H3" s="49">
        <f t="shared" si="0"/>
        <v>2028</v>
      </c>
      <c r="I3" s="49">
        <f t="shared" si="0"/>
        <v>2029</v>
      </c>
      <c r="J3" s="49">
        <f t="shared" si="0"/>
        <v>2030</v>
      </c>
    </row>
    <row r="5" spans="1:10" ht="15.6">
      <c r="B5" s="83" t="s">
        <v>159</v>
      </c>
      <c r="C5" s="83"/>
      <c r="D5" s="83" t="s">
        <v>160</v>
      </c>
      <c r="E5" s="83"/>
      <c r="F5" s="83"/>
      <c r="G5" s="83"/>
      <c r="H5" s="83"/>
      <c r="I5" s="83"/>
      <c r="J5" s="83"/>
    </row>
    <row r="6" spans="1:10" ht="15">
      <c r="B6" s="84" t="s">
        <v>161</v>
      </c>
      <c r="C6" s="86" t="s">
        <v>162</v>
      </c>
      <c r="D6" s="87"/>
      <c r="E6" s="88"/>
      <c r="F6" s="88"/>
      <c r="G6" s="88"/>
      <c r="H6" s="88"/>
      <c r="I6" s="88"/>
      <c r="J6" s="88"/>
    </row>
    <row r="7" spans="1:10" ht="15">
      <c r="B7" s="84" t="s">
        <v>163</v>
      </c>
      <c r="C7" s="86" t="s">
        <v>164</v>
      </c>
      <c r="D7" s="89"/>
      <c r="E7" s="88"/>
      <c r="F7" s="88"/>
      <c r="G7" s="88"/>
      <c r="H7" s="88"/>
      <c r="I7" s="88"/>
      <c r="J7" s="88"/>
    </row>
    <row r="8" spans="1:10" ht="15">
      <c r="B8" s="84" t="s">
        <v>165</v>
      </c>
      <c r="C8" s="86" t="s">
        <v>166</v>
      </c>
      <c r="D8" s="89"/>
      <c r="E8" s="88"/>
      <c r="F8" s="88"/>
      <c r="G8" s="88"/>
      <c r="H8" s="88"/>
      <c r="I8" s="88"/>
      <c r="J8" s="88"/>
    </row>
    <row r="9" spans="1:10" ht="15">
      <c r="B9" s="84" t="s">
        <v>167</v>
      </c>
      <c r="C9" s="86" t="s">
        <v>168</v>
      </c>
      <c r="D9" s="89"/>
      <c r="E9" s="88"/>
      <c r="F9" s="88"/>
      <c r="G9" s="88"/>
      <c r="H9" s="88"/>
      <c r="I9" s="88"/>
      <c r="J9" s="88"/>
    </row>
    <row r="10" spans="1:10" ht="15">
      <c r="B10" s="84" t="s">
        <v>169</v>
      </c>
      <c r="C10" s="86" t="s">
        <v>170</v>
      </c>
      <c r="D10" s="87"/>
      <c r="E10" s="90"/>
      <c r="F10" s="90"/>
      <c r="G10" s="90"/>
      <c r="H10" s="90"/>
      <c r="I10" s="90"/>
      <c r="J10" s="90"/>
    </row>
    <row r="11" spans="1:10" ht="15">
      <c r="B11" s="84" t="s">
        <v>171</v>
      </c>
      <c r="C11" s="86" t="s">
        <v>172</v>
      </c>
      <c r="D11" s="89"/>
      <c r="E11" s="90"/>
      <c r="F11" s="90"/>
      <c r="G11" s="90"/>
      <c r="H11" s="90"/>
      <c r="I11" s="90"/>
      <c r="J11" s="90"/>
    </row>
    <row r="12" spans="1:10" ht="15">
      <c r="B12" s="84" t="s">
        <v>173</v>
      </c>
      <c r="C12" s="86" t="s">
        <v>174</v>
      </c>
      <c r="D12" s="89"/>
      <c r="E12" s="88"/>
      <c r="F12" s="88"/>
      <c r="G12" s="88"/>
      <c r="H12" s="88"/>
      <c r="I12" s="88"/>
      <c r="J12" s="88"/>
    </row>
    <row r="13" spans="1:10">
      <c r="B13" s="91"/>
      <c r="C13" s="92"/>
      <c r="D13" s="93"/>
      <c r="E13" s="93"/>
      <c r="F13" s="93"/>
      <c r="G13" s="93"/>
      <c r="H13" s="93"/>
      <c r="I13" s="93"/>
    </row>
    <row r="14" spans="1:10" ht="15.6">
      <c r="B14" s="83" t="s">
        <v>175</v>
      </c>
      <c r="C14" s="83"/>
      <c r="D14" s="83"/>
      <c r="E14" s="83"/>
      <c r="F14" s="83"/>
      <c r="G14" s="83"/>
      <c r="H14" s="83"/>
      <c r="I14" s="83"/>
      <c r="J14" s="83"/>
    </row>
    <row r="15" spans="1:10">
      <c r="B15" s="85" t="s">
        <v>176</v>
      </c>
      <c r="C15" s="86" t="s">
        <v>177</v>
      </c>
      <c r="D15" s="89"/>
      <c r="E15" s="94"/>
      <c r="F15" s="94"/>
      <c r="G15" s="94"/>
      <c r="H15" s="94"/>
      <c r="I15" s="94"/>
    </row>
    <row r="16" spans="1:10">
      <c r="B16" s="85" t="s">
        <v>178</v>
      </c>
      <c r="C16" s="86" t="s">
        <v>179</v>
      </c>
      <c r="D16" s="89"/>
      <c r="E16" s="94"/>
      <c r="F16" s="94"/>
      <c r="G16" s="94"/>
      <c r="H16" s="94"/>
      <c r="I16" s="94"/>
    </row>
    <row r="17" spans="2:10">
      <c r="B17" s="85" t="s">
        <v>180</v>
      </c>
      <c r="C17" s="86" t="s">
        <v>181</v>
      </c>
      <c r="D17" s="89"/>
      <c r="E17" s="94"/>
      <c r="F17" s="94"/>
      <c r="G17" s="94"/>
      <c r="H17" s="94"/>
      <c r="I17" s="94"/>
    </row>
    <row r="18" spans="2:10">
      <c r="B18" s="85" t="s">
        <v>182</v>
      </c>
      <c r="C18" s="86" t="s">
        <v>183</v>
      </c>
      <c r="D18" s="89"/>
      <c r="E18" s="94"/>
      <c r="F18" s="94"/>
      <c r="G18" s="94"/>
      <c r="H18" s="94"/>
      <c r="I18" s="94"/>
    </row>
    <row r="19" spans="2:10">
      <c r="B19" s="91"/>
      <c r="C19" s="92"/>
      <c r="D19" s="94"/>
      <c r="E19" s="94"/>
      <c r="F19" s="94"/>
      <c r="G19" s="94"/>
      <c r="H19" s="94"/>
      <c r="I19" s="94"/>
    </row>
    <row r="20" spans="2:10" ht="15.6">
      <c r="B20" s="83" t="s">
        <v>184</v>
      </c>
      <c r="C20" s="83"/>
      <c r="D20" s="83"/>
      <c r="E20" s="83"/>
      <c r="F20" s="83"/>
      <c r="G20" s="83"/>
      <c r="H20" s="83"/>
      <c r="I20" s="83"/>
      <c r="J20" s="83"/>
    </row>
    <row r="21" spans="2:10">
      <c r="B21" s="85" t="s">
        <v>185</v>
      </c>
      <c r="C21" s="86" t="s">
        <v>186</v>
      </c>
      <c r="D21" s="89"/>
      <c r="E21" s="94"/>
      <c r="F21" s="94"/>
      <c r="G21" s="94"/>
      <c r="H21" s="94"/>
      <c r="I21" s="94"/>
    </row>
    <row r="22" spans="2:10">
      <c r="B22" s="85" t="s">
        <v>187</v>
      </c>
      <c r="C22" s="86" t="s">
        <v>188</v>
      </c>
      <c r="D22" s="89"/>
    </row>
    <row r="23" spans="2:10">
      <c r="B23" s="85" t="s">
        <v>189</v>
      </c>
      <c r="C23" s="86" t="s">
        <v>190</v>
      </c>
      <c r="D23" s="89"/>
    </row>
    <row r="24" spans="2:10">
      <c r="B24" s="85" t="s">
        <v>191</v>
      </c>
      <c r="C24" s="86" t="s">
        <v>192</v>
      </c>
      <c r="D24" s="89"/>
    </row>
    <row r="25" spans="2:10">
      <c r="B25" s="85" t="s">
        <v>193</v>
      </c>
      <c r="C25" s="86" t="s">
        <v>194</v>
      </c>
      <c r="D25" s="89"/>
    </row>
    <row r="26" spans="2:10">
      <c r="B26" s="91"/>
      <c r="C26" s="92"/>
    </row>
    <row r="27" spans="2:10" ht="15.6">
      <c r="B27" s="83" t="s">
        <v>195</v>
      </c>
      <c r="C27" s="83"/>
      <c r="D27" s="83"/>
      <c r="E27" s="83"/>
      <c r="F27" s="83"/>
      <c r="G27" s="83"/>
      <c r="H27" s="83"/>
      <c r="I27" s="83"/>
      <c r="J27" s="83"/>
    </row>
    <row r="28" spans="2:10">
      <c r="B28" s="85" t="s">
        <v>196</v>
      </c>
      <c r="C28" s="86" t="s">
        <v>197</v>
      </c>
      <c r="D28" s="89"/>
    </row>
    <row r="29" spans="2:10">
      <c r="B29" s="85" t="s">
        <v>198</v>
      </c>
      <c r="C29" s="86" t="s">
        <v>199</v>
      </c>
      <c r="D29" s="89"/>
    </row>
    <row r="30" spans="2:10">
      <c r="B30" s="85" t="s">
        <v>200</v>
      </c>
      <c r="C30" s="86" t="s">
        <v>201</v>
      </c>
      <c r="D30" s="89"/>
    </row>
    <row r="31" spans="2:10">
      <c r="B31" s="85" t="s">
        <v>202</v>
      </c>
      <c r="C31" s="86" t="s">
        <v>203</v>
      </c>
      <c r="D31" s="89"/>
    </row>
    <row r="33" spans="2:10" ht="15.6">
      <c r="B33" s="83" t="s">
        <v>204</v>
      </c>
      <c r="C33" s="83"/>
      <c r="D33" s="83"/>
      <c r="E33" s="83"/>
      <c r="F33" s="83"/>
      <c r="G33" s="83"/>
      <c r="H33" s="83"/>
      <c r="I33" s="83"/>
      <c r="J33" s="83"/>
    </row>
    <row r="34" spans="2:10">
      <c r="B34" s="85" t="s">
        <v>205</v>
      </c>
      <c r="C34" s="86" t="s">
        <v>206</v>
      </c>
      <c r="D34" s="89"/>
    </row>
    <row r="35" spans="2:10">
      <c r="B35" s="85" t="s">
        <v>207</v>
      </c>
      <c r="C35" s="86" t="s">
        <v>208</v>
      </c>
      <c r="D35" s="89"/>
    </row>
    <row r="36" spans="2:10">
      <c r="B36" s="85" t="s">
        <v>209</v>
      </c>
      <c r="C36" s="86" t="s">
        <v>210</v>
      </c>
      <c r="D36" s="89"/>
    </row>
    <row r="37" spans="2:10">
      <c r="B37" s="85" t="s">
        <v>211</v>
      </c>
      <c r="C37" s="86" t="s">
        <v>212</v>
      </c>
      <c r="D37" s="89"/>
    </row>
    <row r="39" spans="2:10" ht="15.6">
      <c r="B39" s="83" t="s">
        <v>213</v>
      </c>
      <c r="C39" s="83"/>
      <c r="D39" s="83"/>
      <c r="E39" s="83"/>
      <c r="F39" s="83"/>
      <c r="G39" s="83"/>
      <c r="H39" s="83"/>
      <c r="I39" s="83"/>
      <c r="J39" s="83"/>
    </row>
    <row r="40" spans="2:10">
      <c r="B40" s="85" t="s">
        <v>214</v>
      </c>
      <c r="C40" s="86" t="s">
        <v>215</v>
      </c>
      <c r="D40" s="89"/>
    </row>
    <row r="41" spans="2:10">
      <c r="B41" s="85" t="s">
        <v>216</v>
      </c>
      <c r="C41" s="86" t="s">
        <v>217</v>
      </c>
      <c r="D41" s="89"/>
    </row>
    <row r="42" spans="2:10">
      <c r="B42" s="85" t="s">
        <v>218</v>
      </c>
      <c r="C42" s="86" t="s">
        <v>219</v>
      </c>
      <c r="D42" s="89"/>
    </row>
    <row r="43" spans="2:10">
      <c r="B43" s="85" t="s">
        <v>220</v>
      </c>
      <c r="C43" s="86" t="s">
        <v>221</v>
      </c>
      <c r="D43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Assumptions</vt:lpstr>
      <vt:lpstr>Income Statement</vt:lpstr>
      <vt:lpstr>Balance Sheet</vt:lpstr>
      <vt:lpstr>Schedules</vt:lpstr>
      <vt:lpstr>Cash Flow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Shivam Raj</cp:lastModifiedBy>
  <cp:revision>0</cp:revision>
  <dcterms:created xsi:type="dcterms:W3CDTF">2026-02-18T12:17:36Z</dcterms:created>
  <dcterms:modified xsi:type="dcterms:W3CDTF">2026-02-18T13:07:56Z</dcterms:modified>
  <dc:language>en-US</dc:language>
</cp:coreProperties>
</file>