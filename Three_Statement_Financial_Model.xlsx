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335D5A2-05C6-4DEE-8583-AC220FBE4880}" xr6:coauthVersionLast="47" xr6:coauthVersionMax="47" xr10:uidLastSave="{00000000-0000-0000-0000-000000000000}"/>
  <bookViews>
    <workbookView xWindow="-108" yWindow="-108" windowWidth="23256" windowHeight="12456" tabRatio="740" firstSheet="1" activeTab="6" xr2:uid="{00000000-000D-0000-FFFF-FFFF00000000}"/>
  </bookViews>
  <sheets>
    <sheet name="Assumptions" sheetId="1" r:id="rId1"/>
    <sheet name="Debt Schedule" sheetId="2" r:id="rId2"/>
    <sheet name="PPE Schedule" sheetId="3" r:id="rId3"/>
    <sheet name="NWC Schedule" sheetId="4" r:id="rId4"/>
    <sheet name="Income Statement" sheetId="5" r:id="rId5"/>
    <sheet name="Cash Flow" sheetId="6" r:id="rId6"/>
    <sheet name="Balance Sheet" sheetId="7" r:id="rId7"/>
    <sheet name="Ratio Analysis" sheetId="9" r:id="rId8"/>
    <sheet name="Checks" sheetId="8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4" l="1"/>
  <c r="F18" i="4"/>
  <c r="G18" i="4"/>
  <c r="H18" i="4"/>
  <c r="D18" i="4"/>
  <c r="E14" i="4"/>
  <c r="F14" i="4"/>
  <c r="G14" i="4"/>
  <c r="H14" i="4"/>
  <c r="D14" i="4"/>
  <c r="E10" i="4"/>
  <c r="F10" i="4"/>
  <c r="G10" i="4"/>
  <c r="H10" i="4"/>
  <c r="D10" i="4"/>
  <c r="N13" i="9"/>
  <c r="M13" i="9"/>
  <c r="L13" i="9"/>
  <c r="K13" i="9"/>
  <c r="J13" i="9"/>
  <c r="I13" i="9"/>
  <c r="H13" i="9"/>
  <c r="G13" i="9"/>
  <c r="F13" i="9"/>
  <c r="E13" i="9"/>
  <c r="N12" i="9"/>
  <c r="M12" i="9"/>
  <c r="L12" i="9"/>
  <c r="K12" i="9"/>
  <c r="J12" i="9"/>
  <c r="I12" i="9"/>
  <c r="H12" i="9"/>
  <c r="G12" i="9"/>
  <c r="F12" i="9"/>
  <c r="E12" i="9"/>
  <c r="N11" i="9"/>
  <c r="M11" i="9"/>
  <c r="L11" i="9"/>
  <c r="K11" i="9"/>
  <c r="J11" i="9"/>
  <c r="I11" i="9"/>
  <c r="H11" i="9"/>
  <c r="G11" i="9"/>
  <c r="F11" i="9"/>
  <c r="E11" i="9"/>
  <c r="N10" i="9"/>
  <c r="M10" i="9"/>
  <c r="L10" i="9"/>
  <c r="K10" i="9"/>
  <c r="J10" i="9"/>
  <c r="I10" i="9"/>
  <c r="H10" i="9"/>
  <c r="G10" i="9"/>
  <c r="F10" i="9"/>
  <c r="E10" i="9"/>
  <c r="N9" i="9"/>
  <c r="M9" i="9"/>
  <c r="L9" i="9"/>
  <c r="K9" i="9"/>
  <c r="J9" i="9"/>
  <c r="I9" i="9"/>
  <c r="H9" i="9"/>
  <c r="G9" i="9"/>
  <c r="F9" i="9"/>
  <c r="E9" i="9"/>
  <c r="N8" i="9"/>
  <c r="M8" i="9"/>
  <c r="L8" i="9"/>
  <c r="K8" i="9"/>
  <c r="J8" i="9"/>
  <c r="I8" i="9"/>
  <c r="H8" i="9"/>
  <c r="G8" i="9"/>
  <c r="F8" i="9"/>
  <c r="E8" i="9"/>
  <c r="N7" i="9"/>
  <c r="M7" i="9"/>
  <c r="L7" i="9"/>
  <c r="K7" i="9"/>
  <c r="J7" i="9"/>
  <c r="I7" i="9"/>
  <c r="H7" i="9"/>
  <c r="G7" i="9"/>
  <c r="F7" i="9"/>
  <c r="E7" i="9"/>
  <c r="M11" i="1"/>
  <c r="M12" i="1" s="1"/>
  <c r="L11" i="1"/>
  <c r="L12" i="1" s="1"/>
  <c r="K11" i="1"/>
  <c r="K12" i="1" s="1"/>
  <c r="J11" i="1"/>
  <c r="M10" i="1"/>
  <c r="L10" i="1"/>
  <c r="K10" i="1"/>
  <c r="J10" i="1"/>
  <c r="T8" i="1"/>
  <c r="S8" i="1"/>
  <c r="V7" i="1"/>
  <c r="V8" i="1" s="1"/>
  <c r="U7" i="1"/>
  <c r="U8" i="1" s="1"/>
  <c r="T7" i="1"/>
  <c r="S7" i="1"/>
  <c r="R7" i="1"/>
  <c r="V6" i="1"/>
  <c r="U6" i="1"/>
  <c r="T6" i="1"/>
  <c r="S6" i="1"/>
  <c r="R6" i="1"/>
  <c r="E54" i="7"/>
  <c r="E56" i="7" s="1"/>
  <c r="F54" i="7"/>
  <c r="G54" i="7"/>
  <c r="G56" i="7" s="1"/>
  <c r="H54" i="7"/>
  <c r="D54" i="7"/>
  <c r="D56" i="7" s="1"/>
  <c r="E24" i="7"/>
  <c r="F24" i="7"/>
  <c r="G24" i="7"/>
  <c r="H24" i="7"/>
  <c r="H56" i="7" s="1"/>
  <c r="D24" i="7"/>
  <c r="E45" i="7"/>
  <c r="F45" i="7"/>
  <c r="G45" i="7"/>
  <c r="H45" i="7"/>
  <c r="D45" i="7"/>
  <c r="E18" i="2"/>
  <c r="F18" i="2"/>
  <c r="G18" i="2"/>
  <c r="H18" i="2"/>
  <c r="D18" i="2"/>
  <c r="D19" i="2" s="1"/>
  <c r="E8" i="2"/>
  <c r="F8" i="2"/>
  <c r="G8" i="2"/>
  <c r="H8" i="2"/>
  <c r="D8" i="2"/>
  <c r="F56" i="7"/>
  <c r="E34" i="5"/>
  <c r="F34" i="5"/>
  <c r="G34" i="5"/>
  <c r="H34" i="5"/>
  <c r="D34" i="5"/>
  <c r="E28" i="5"/>
  <c r="F28" i="5"/>
  <c r="G28" i="5"/>
  <c r="H28" i="5"/>
  <c r="D28" i="5"/>
  <c r="E15" i="5"/>
  <c r="F15" i="5"/>
  <c r="G15" i="5"/>
  <c r="H15" i="5"/>
  <c r="D15" i="5"/>
  <c r="D14" i="3"/>
  <c r="C15" i="3"/>
  <c r="C17" i="3" s="1"/>
  <c r="D13" i="3"/>
  <c r="C17" i="7"/>
  <c r="C22" i="7" s="1"/>
  <c r="D6" i="3"/>
  <c r="C11" i="5"/>
  <c r="E9" i="5"/>
  <c r="F9" i="5"/>
  <c r="G9" i="5"/>
  <c r="H9" i="5"/>
  <c r="D9" i="5"/>
  <c r="D5" i="5"/>
  <c r="E5" i="5" s="1"/>
  <c r="F5" i="5" s="1"/>
  <c r="G5" i="5" s="1"/>
  <c r="H5" i="5" s="1"/>
  <c r="C39" i="7"/>
  <c r="C43" i="7" s="1"/>
  <c r="E21" i="2"/>
  <c r="F21" i="2"/>
  <c r="G21" i="2"/>
  <c r="H21" i="2"/>
  <c r="D21" i="2"/>
  <c r="E11" i="2"/>
  <c r="F11" i="2"/>
  <c r="G11" i="2"/>
  <c r="H11" i="2"/>
  <c r="D11" i="2"/>
  <c r="F5" i="8"/>
  <c r="E5" i="8"/>
  <c r="E6" i="8" s="1"/>
  <c r="D5" i="8"/>
  <c r="D6" i="8" s="1"/>
  <c r="C5" i="8"/>
  <c r="B5" i="8"/>
  <c r="C52" i="7"/>
  <c r="D50" i="7"/>
  <c r="E50" i="7" s="1"/>
  <c r="F50" i="7" s="1"/>
  <c r="G50" i="7" s="1"/>
  <c r="H50" i="7" s="1"/>
  <c r="D48" i="7"/>
  <c r="E48" i="7" s="1"/>
  <c r="F48" i="7" s="1"/>
  <c r="G48" i="7" s="1"/>
  <c r="H48" i="7" s="1"/>
  <c r="D47" i="7"/>
  <c r="E47" i="7" s="1"/>
  <c r="F47" i="7" s="1"/>
  <c r="G47" i="7" s="1"/>
  <c r="H47" i="7" s="1"/>
  <c r="D40" i="7"/>
  <c r="E40" i="7" s="1"/>
  <c r="F40" i="7" s="1"/>
  <c r="G40" i="7" s="1"/>
  <c r="H40" i="7" s="1"/>
  <c r="D34" i="7"/>
  <c r="E34" i="7" s="1"/>
  <c r="F34" i="7" s="1"/>
  <c r="G34" i="7" s="1"/>
  <c r="H34" i="7" s="1"/>
  <c r="D33" i="7"/>
  <c r="E33" i="7" s="1"/>
  <c r="F33" i="7" s="1"/>
  <c r="G33" i="7" s="1"/>
  <c r="H33" i="7" s="1"/>
  <c r="D32" i="7"/>
  <c r="E32" i="7" s="1"/>
  <c r="F32" i="7" s="1"/>
  <c r="G32" i="7" s="1"/>
  <c r="H32" i="7" s="1"/>
  <c r="D31" i="7"/>
  <c r="E31" i="7" s="1"/>
  <c r="F31" i="7" s="1"/>
  <c r="G31" i="7" s="1"/>
  <c r="H31" i="7" s="1"/>
  <c r="D19" i="7"/>
  <c r="E19" i="7" s="1"/>
  <c r="F19" i="7" s="1"/>
  <c r="G19" i="7" s="1"/>
  <c r="H19" i="7" s="1"/>
  <c r="D18" i="7"/>
  <c r="E18" i="7" s="1"/>
  <c r="F18" i="7" s="1"/>
  <c r="G18" i="7" s="1"/>
  <c r="H18" i="7" s="1"/>
  <c r="C12" i="7"/>
  <c r="D10" i="7"/>
  <c r="E10" i="7" s="1"/>
  <c r="F10" i="7" s="1"/>
  <c r="G10" i="7" s="1"/>
  <c r="H10" i="7" s="1"/>
  <c r="F9" i="8"/>
  <c r="F10" i="8" s="1"/>
  <c r="E9" i="8"/>
  <c r="E10" i="8" s="1"/>
  <c r="D9" i="8"/>
  <c r="D10" i="8" s="1"/>
  <c r="F29" i="6"/>
  <c r="B9" i="8"/>
  <c r="B10" i="8" s="1"/>
  <c r="D29" i="6"/>
  <c r="C27" i="6"/>
  <c r="H24" i="6"/>
  <c r="G24" i="6"/>
  <c r="F24" i="6"/>
  <c r="E24" i="6"/>
  <c r="D24" i="6"/>
  <c r="D49" i="7" s="1"/>
  <c r="H21" i="6"/>
  <c r="G21" i="6"/>
  <c r="F21" i="6"/>
  <c r="E21" i="6"/>
  <c r="D21" i="6"/>
  <c r="C19" i="6"/>
  <c r="C12" i="6"/>
  <c r="C9" i="3"/>
  <c r="H7" i="2"/>
  <c r="G7" i="2"/>
  <c r="F7" i="2"/>
  <c r="E7" i="2"/>
  <c r="D7" i="2"/>
  <c r="C7" i="2"/>
  <c r="D20" i="2" l="1"/>
  <c r="D22" i="2" s="1"/>
  <c r="E16" i="2"/>
  <c r="D39" i="7"/>
  <c r="D15" i="3"/>
  <c r="D16" i="7" s="1"/>
  <c r="E13" i="3" s="1"/>
  <c r="D18" i="5"/>
  <c r="D7" i="6" s="1"/>
  <c r="G14" i="5"/>
  <c r="H14" i="5"/>
  <c r="F14" i="5"/>
  <c r="E14" i="5"/>
  <c r="D14" i="5"/>
  <c r="E8" i="5"/>
  <c r="H8" i="5"/>
  <c r="D8" i="5"/>
  <c r="F8" i="5"/>
  <c r="G8" i="5"/>
  <c r="D6" i="5"/>
  <c r="F6" i="5"/>
  <c r="E6" i="5"/>
  <c r="C9" i="8"/>
  <c r="C10" i="8" s="1"/>
  <c r="G29" i="6"/>
  <c r="C30" i="6"/>
  <c r="C33" i="6" s="1"/>
  <c r="H29" i="6"/>
  <c r="F22" i="6"/>
  <c r="H22" i="6"/>
  <c r="E22" i="6"/>
  <c r="D22" i="6"/>
  <c r="D5" i="4"/>
  <c r="D11" i="4" s="1"/>
  <c r="D23" i="4" s="1"/>
  <c r="D8" i="7" s="1"/>
  <c r="G22" i="6"/>
  <c r="D7" i="3"/>
  <c r="B17" i="8"/>
  <c r="B18" i="8" s="1"/>
  <c r="E49" i="7"/>
  <c r="C24" i="7"/>
  <c r="E29" i="6"/>
  <c r="B6" i="8"/>
  <c r="C9" i="2"/>
  <c r="C6" i="8"/>
  <c r="C19" i="2"/>
  <c r="D16" i="2" s="1"/>
  <c r="F6" i="8"/>
  <c r="G11" i="5" l="1"/>
  <c r="G12" i="5" s="1"/>
  <c r="G6" i="4"/>
  <c r="E11" i="5"/>
  <c r="E6" i="4"/>
  <c r="D11" i="5"/>
  <c r="D12" i="5" s="1"/>
  <c r="D6" i="4"/>
  <c r="F11" i="5"/>
  <c r="F17" i="5" s="1"/>
  <c r="F6" i="4"/>
  <c r="H11" i="5"/>
  <c r="H17" i="5" s="1"/>
  <c r="H6" i="4"/>
  <c r="E19" i="2"/>
  <c r="E12" i="5"/>
  <c r="E17" i="5"/>
  <c r="F12" i="5"/>
  <c r="D15" i="6"/>
  <c r="D9" i="3"/>
  <c r="D17" i="3" s="1"/>
  <c r="D17" i="5"/>
  <c r="D20" i="5" s="1"/>
  <c r="D21" i="5" s="1"/>
  <c r="H6" i="5"/>
  <c r="G6" i="5"/>
  <c r="C10" i="2"/>
  <c r="C12" i="2" s="1"/>
  <c r="C30" i="7"/>
  <c r="D8" i="6"/>
  <c r="E7" i="3"/>
  <c r="E15" i="6" s="1"/>
  <c r="E5" i="4"/>
  <c r="E11" i="4" s="1"/>
  <c r="E23" i="4" s="1"/>
  <c r="E8" i="7" s="1"/>
  <c r="C20" i="2"/>
  <c r="C22" i="2" s="1"/>
  <c r="F49" i="7"/>
  <c r="C17" i="8"/>
  <c r="C18" i="8" s="1"/>
  <c r="D10" i="6" l="1"/>
  <c r="D19" i="4"/>
  <c r="D25" i="4" s="1"/>
  <c r="D29" i="7" s="1"/>
  <c r="D15" i="4"/>
  <c r="F15" i="4"/>
  <c r="F19" i="4"/>
  <c r="F25" i="4" s="1"/>
  <c r="F29" i="7" s="1"/>
  <c r="E15" i="4"/>
  <c r="E19" i="4"/>
  <c r="E25" i="4" s="1"/>
  <c r="E29" i="7" s="1"/>
  <c r="H19" i="4"/>
  <c r="H25" i="4" s="1"/>
  <c r="H29" i="7" s="1"/>
  <c r="H15" i="4"/>
  <c r="G15" i="4"/>
  <c r="G19" i="4"/>
  <c r="G25" i="4" s="1"/>
  <c r="G29" i="7" s="1"/>
  <c r="G17" i="5"/>
  <c r="H12" i="5"/>
  <c r="F16" i="2"/>
  <c r="E39" i="7"/>
  <c r="E20" i="2"/>
  <c r="E22" i="2" s="1"/>
  <c r="D9" i="6"/>
  <c r="D15" i="7"/>
  <c r="D17" i="7" s="1"/>
  <c r="E6" i="3"/>
  <c r="E14" i="3" s="1"/>
  <c r="C25" i="2"/>
  <c r="D6" i="2"/>
  <c r="D9" i="2" s="1"/>
  <c r="C36" i="7"/>
  <c r="C45" i="7" s="1"/>
  <c r="C54" i="7" s="1"/>
  <c r="C56" i="7" s="1"/>
  <c r="E8" i="6"/>
  <c r="D17" i="8"/>
  <c r="D18" i="8" s="1"/>
  <c r="G49" i="7"/>
  <c r="F7" i="3"/>
  <c r="F15" i="6" s="1"/>
  <c r="F5" i="4"/>
  <c r="F11" i="4" s="1"/>
  <c r="F23" i="4" s="1"/>
  <c r="F8" i="7" s="1"/>
  <c r="G24" i="4" l="1"/>
  <c r="G9" i="7"/>
  <c r="H24" i="4"/>
  <c r="H9" i="7"/>
  <c r="F24" i="4"/>
  <c r="F9" i="7"/>
  <c r="E24" i="4"/>
  <c r="E26" i="4" s="1"/>
  <c r="E9" i="7"/>
  <c r="D24" i="4"/>
  <c r="D26" i="4" s="1"/>
  <c r="D28" i="4" s="1"/>
  <c r="D9" i="7"/>
  <c r="F19" i="2"/>
  <c r="B13" i="8"/>
  <c r="B14" i="8" s="1"/>
  <c r="B22" i="8" s="1"/>
  <c r="E18" i="5"/>
  <c r="E15" i="3"/>
  <c r="E16" i="7" s="1"/>
  <c r="F13" i="3" s="1"/>
  <c r="E9" i="3"/>
  <c r="E17" i="3" s="1"/>
  <c r="D30" i="7"/>
  <c r="E6" i="2" s="1"/>
  <c r="E9" i="2" s="1"/>
  <c r="D10" i="2"/>
  <c r="D12" i="2" s="1"/>
  <c r="D25" i="2" s="1"/>
  <c r="D23" i="5" s="1"/>
  <c r="D25" i="5" s="1"/>
  <c r="D27" i="5" s="1"/>
  <c r="D30" i="5" s="1"/>
  <c r="D33" i="5" s="1"/>
  <c r="D26" i="6" s="1"/>
  <c r="C13" i="8"/>
  <c r="C14" i="8" s="1"/>
  <c r="C22" i="8" s="1"/>
  <c r="G7" i="3"/>
  <c r="G15" i="6" s="1"/>
  <c r="G5" i="4"/>
  <c r="G11" i="4" s="1"/>
  <c r="G23" i="4" s="1"/>
  <c r="G8" i="7" s="1"/>
  <c r="E17" i="8"/>
  <c r="E18" i="8" s="1"/>
  <c r="H49" i="7"/>
  <c r="F17" i="8" s="1"/>
  <c r="F18" i="8" s="1"/>
  <c r="F8" i="6"/>
  <c r="E10" i="6"/>
  <c r="E9" i="6"/>
  <c r="E28" i="4" l="1"/>
  <c r="F26" i="4"/>
  <c r="F28" i="4" s="1"/>
  <c r="D36" i="5"/>
  <c r="D51" i="7" s="1"/>
  <c r="D6" i="6"/>
  <c r="E20" i="5"/>
  <c r="E7" i="6"/>
  <c r="F39" i="7"/>
  <c r="G16" i="2"/>
  <c r="F20" i="2"/>
  <c r="F22" i="2" s="1"/>
  <c r="D31" i="5"/>
  <c r="E21" i="5"/>
  <c r="F6" i="3"/>
  <c r="F14" i="3" s="1"/>
  <c r="F18" i="5" s="1"/>
  <c r="E15" i="7"/>
  <c r="E17" i="7" s="1"/>
  <c r="E30" i="7"/>
  <c r="F6" i="2" s="1"/>
  <c r="F9" i="2" s="1"/>
  <c r="E10" i="2"/>
  <c r="E12" i="2" s="1"/>
  <c r="E25" i="2" s="1"/>
  <c r="E23" i="5" s="1"/>
  <c r="E25" i="5" s="1"/>
  <c r="D13" i="8"/>
  <c r="D14" i="8" s="1"/>
  <c r="D22" i="8" s="1"/>
  <c r="I8" i="5"/>
  <c r="H5" i="4"/>
  <c r="H11" i="4" s="1"/>
  <c r="H23" i="4" s="1"/>
  <c r="H8" i="7" s="1"/>
  <c r="H7" i="3"/>
  <c r="H15" i="6" s="1"/>
  <c r="F10" i="6"/>
  <c r="F9" i="6"/>
  <c r="G8" i="6"/>
  <c r="H26" i="4" l="1"/>
  <c r="G26" i="4"/>
  <c r="G28" i="4" s="1"/>
  <c r="F20" i="5"/>
  <c r="F21" i="5" s="1"/>
  <c r="F7" i="6"/>
  <c r="G19" i="2"/>
  <c r="G20" i="2" s="1"/>
  <c r="G22" i="2" s="1"/>
  <c r="E27" i="5"/>
  <c r="E30" i="5" s="1"/>
  <c r="E33" i="5" s="1"/>
  <c r="E26" i="6" s="1"/>
  <c r="F15" i="3"/>
  <c r="F16" i="7" s="1"/>
  <c r="G13" i="3" s="1"/>
  <c r="F9" i="3"/>
  <c r="F17" i="3" s="1"/>
  <c r="F30" i="7"/>
  <c r="G6" i="2" s="1"/>
  <c r="G9" i="2" s="1"/>
  <c r="F10" i="2"/>
  <c r="F12" i="2" s="1"/>
  <c r="F25" i="2" s="1"/>
  <c r="F23" i="5" s="1"/>
  <c r="F25" i="5" s="1"/>
  <c r="E13" i="8"/>
  <c r="E14" i="8" s="1"/>
  <c r="E22" i="8" s="1"/>
  <c r="H8" i="6"/>
  <c r="G10" i="6"/>
  <c r="G9" i="6"/>
  <c r="H28" i="4" l="1"/>
  <c r="E36" i="5"/>
  <c r="E51" i="7" s="1"/>
  <c r="E6" i="6"/>
  <c r="G39" i="7"/>
  <c r="H16" i="2"/>
  <c r="E31" i="5"/>
  <c r="F27" i="5"/>
  <c r="F30" i="5" s="1"/>
  <c r="F33" i="5" s="1"/>
  <c r="F26" i="6" s="1"/>
  <c r="G6" i="3"/>
  <c r="F15" i="7"/>
  <c r="F17" i="7" s="1"/>
  <c r="G30" i="7"/>
  <c r="H6" i="2" s="1"/>
  <c r="H9" i="2" s="1"/>
  <c r="G10" i="2"/>
  <c r="G12" i="2" s="1"/>
  <c r="G25" i="2" s="1"/>
  <c r="G23" i="5" s="1"/>
  <c r="F13" i="8"/>
  <c r="F14" i="8" s="1"/>
  <c r="F22" i="8" s="1"/>
  <c r="H10" i="6"/>
  <c r="H9" i="6"/>
  <c r="F36" i="5" l="1"/>
  <c r="F51" i="7" s="1"/>
  <c r="F6" i="6"/>
  <c r="H19" i="2"/>
  <c r="H20" i="2" s="1"/>
  <c r="H22" i="2" s="1"/>
  <c r="F31" i="5"/>
  <c r="G9" i="3"/>
  <c r="G14" i="3"/>
  <c r="H30" i="7"/>
  <c r="H10" i="2"/>
  <c r="H12" i="2" s="1"/>
  <c r="H25" i="2" l="1"/>
  <c r="H23" i="5" s="1"/>
  <c r="H39" i="7"/>
  <c r="H6" i="3"/>
  <c r="H9" i="3" s="1"/>
  <c r="G15" i="7"/>
  <c r="G18" i="5"/>
  <c r="G15" i="3"/>
  <c r="G16" i="7" s="1"/>
  <c r="H13" i="3" s="1"/>
  <c r="G20" i="5" l="1"/>
  <c r="G25" i="5" s="1"/>
  <c r="G7" i="6"/>
  <c r="H14" i="3"/>
  <c r="H18" i="5" s="1"/>
  <c r="G17" i="3"/>
  <c r="G17" i="7"/>
  <c r="H15" i="7"/>
  <c r="G21" i="5" l="1"/>
  <c r="H20" i="5"/>
  <c r="H7" i="6"/>
  <c r="H15" i="3"/>
  <c r="H16" i="7" s="1"/>
  <c r="H17" i="3"/>
  <c r="G27" i="5"/>
  <c r="G30" i="5" s="1"/>
  <c r="G33" i="5" s="1"/>
  <c r="G26" i="6" s="1"/>
  <c r="H17" i="7"/>
  <c r="G36" i="5" l="1"/>
  <c r="G51" i="7" s="1"/>
  <c r="G6" i="6"/>
  <c r="H25" i="5"/>
  <c r="H27" i="5" s="1"/>
  <c r="H30" i="5" s="1"/>
  <c r="H33" i="5" s="1"/>
  <c r="H26" i="6" s="1"/>
  <c r="H21" i="5"/>
  <c r="G31" i="5"/>
  <c r="H36" i="5" l="1"/>
  <c r="H51" i="7" s="1"/>
  <c r="H6" i="6"/>
  <c r="H31" i="5"/>
</calcChain>
</file>

<file path=xl/sharedStrings.xml><?xml version="1.0" encoding="utf-8"?>
<sst xmlns="http://schemas.openxmlformats.org/spreadsheetml/2006/main" count="343" uniqueCount="262">
  <si>
    <t>REVENUE ASSUMPTIONS</t>
  </si>
  <si>
    <t>Year</t>
  </si>
  <si>
    <t>2025</t>
  </si>
  <si>
    <t>2026</t>
  </si>
  <si>
    <t>2027</t>
  </si>
  <si>
    <t>2028</t>
  </si>
  <si>
    <t>2029</t>
  </si>
  <si>
    <t>Revenue Growth %</t>
  </si>
  <si>
    <t>COST ASSUMPTIONS (% of Revenue)</t>
  </si>
  <si>
    <t>COGS %</t>
  </si>
  <si>
    <t>Operating Expenses %</t>
  </si>
  <si>
    <t>Depreciation % of Gross PPE</t>
  </si>
  <si>
    <t>TAX ASSUMPTIONS</t>
  </si>
  <si>
    <t>Tax Rate %</t>
  </si>
  <si>
    <t>WORKING CAPITAL ASSUMPTIONS</t>
  </si>
  <si>
    <t>Days Sales Outstanding (DSO)</t>
  </si>
  <si>
    <t>Days Inventory Outstanding (DIO)</t>
  </si>
  <si>
    <t>Days Payable Outstanding (DPO)</t>
  </si>
  <si>
    <t>CAPEX ASSUMPTIONS</t>
  </si>
  <si>
    <t>Capex % of Revenue</t>
  </si>
  <si>
    <t>DEBT ASSUMPTIONS</t>
  </si>
  <si>
    <t>Interest Rate on ST Debt %</t>
  </si>
  <si>
    <t>Interest Rate on LT Debt %</t>
  </si>
  <si>
    <t>New Debt Issuance</t>
  </si>
  <si>
    <t>Debt Repayment (% of CFO)</t>
  </si>
  <si>
    <t>DIVIDEND ASSUMPTIONS</t>
  </si>
  <si>
    <t>Dividend Payout Ratio %</t>
  </si>
  <si>
    <t>2024E</t>
  </si>
  <si>
    <t>2025F</t>
  </si>
  <si>
    <t>2026F</t>
  </si>
  <si>
    <t>2027F</t>
  </si>
  <si>
    <t>2028F</t>
  </si>
  <si>
    <t>2029F</t>
  </si>
  <si>
    <t>SHORT-TERM DEBT</t>
  </si>
  <si>
    <t>Beginning Balance</t>
  </si>
  <si>
    <t>New Debt Issued</t>
  </si>
  <si>
    <t>Debt Repayment</t>
  </si>
  <si>
    <t>Ending Balance</t>
  </si>
  <si>
    <t>Average Balance</t>
  </si>
  <si>
    <t>Interest Rate</t>
  </si>
  <si>
    <t>Interest Expense</t>
  </si>
  <si>
    <t>LONG-TERM DEBT</t>
  </si>
  <si>
    <t>TOTAL INTEREST EXPENSE</t>
  </si>
  <si>
    <t>GROSS PPE</t>
  </si>
  <si>
    <t>Capital Expenditures</t>
  </si>
  <si>
    <t>Asset Disposals</t>
  </si>
  <si>
    <t>ACCUMULATED DEPRECIATION</t>
  </si>
  <si>
    <t>Depreciation Expense</t>
  </si>
  <si>
    <t>Revenue</t>
  </si>
  <si>
    <t>COGS</t>
  </si>
  <si>
    <t>ACCOUNTS RECEIVABLE</t>
  </si>
  <si>
    <t>Accounts Receivable</t>
  </si>
  <si>
    <t>INVENTORY</t>
  </si>
  <si>
    <t>Inventory</t>
  </si>
  <si>
    <t>ACCOUNTS PAYABLE</t>
  </si>
  <si>
    <t>Accounts Payable</t>
  </si>
  <si>
    <t>NET WORKING CAPITAL</t>
  </si>
  <si>
    <t>Total NWC</t>
  </si>
  <si>
    <t>Change in NWC (Δ NWC)</t>
  </si>
  <si>
    <t>All figures in thousands</t>
  </si>
  <si>
    <t>Cost of Goods Sold</t>
  </si>
  <si>
    <t>Gross Profit</t>
  </si>
  <si>
    <t>Gross Margin %</t>
  </si>
  <si>
    <t>Operating Expenses</t>
  </si>
  <si>
    <t>Depreciation &amp; Amortization</t>
  </si>
  <si>
    <t>EBITDA</t>
  </si>
  <si>
    <t>EBIT</t>
  </si>
  <si>
    <t>Earnings Before Tax (EBT)</t>
  </si>
  <si>
    <t>Tax Expense</t>
  </si>
  <si>
    <t>NET INCOME</t>
  </si>
  <si>
    <t>EBIT Margin %</t>
  </si>
  <si>
    <t>CASH FLOW FROM OPERATIONS</t>
  </si>
  <si>
    <t>Net Income</t>
  </si>
  <si>
    <t>Change in Accounts Receivable</t>
  </si>
  <si>
    <t>Change in Inventory</t>
  </si>
  <si>
    <t>Change in Accounts Payable</t>
  </si>
  <si>
    <t>Change in Other Working Capital</t>
  </si>
  <si>
    <t>Cash Flow from Operations</t>
  </si>
  <si>
    <t>CASH FLOW FROM INVESTING</t>
  </si>
  <si>
    <t>Asset Sales / Proceeds</t>
  </si>
  <si>
    <t>Investments Purchased</t>
  </si>
  <si>
    <t>Cash Flow from Investing</t>
  </si>
  <si>
    <t>CASH FLOW FROM FINANCING</t>
  </si>
  <si>
    <t>Equity Issued</t>
  </si>
  <si>
    <t>Dividends Paid</t>
  </si>
  <si>
    <t>Cash Flow from Financing</t>
  </si>
  <si>
    <t>NET CHANGE IN CASH</t>
  </si>
  <si>
    <t>Beginning Cash</t>
  </si>
  <si>
    <t>Ending Cash</t>
  </si>
  <si>
    <t>ASSETS</t>
  </si>
  <si>
    <t>Current Assets</t>
  </si>
  <si>
    <t xml:space="preserve">  Cash &amp; Cash Equivalents</t>
  </si>
  <si>
    <t xml:space="preserve">  Accounts Receivable</t>
  </si>
  <si>
    <t xml:space="preserve">  Inventory</t>
  </si>
  <si>
    <t xml:space="preserve">  Loans &amp; Advances</t>
  </si>
  <si>
    <t xml:space="preserve">  Other Current Assets</t>
  </si>
  <si>
    <t>Non-Current Assets</t>
  </si>
  <si>
    <t xml:space="preserve">  Property, Plant &amp; Equipment (Gross)</t>
  </si>
  <si>
    <t xml:space="preserve">  Less: Accumulated Depreciation</t>
  </si>
  <si>
    <t xml:space="preserve">  Net PPE</t>
  </si>
  <si>
    <t xml:space="preserve">  Capital Work in Progress (CWIP)</t>
  </si>
  <si>
    <t xml:space="preserve">  Other Fixed Assets</t>
  </si>
  <si>
    <t xml:space="preserve">  Investments</t>
  </si>
  <si>
    <t xml:space="preserve">  Deferred Tax Asset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</si>
  <si>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</si>
  <si>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</si>
  <si>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</si>
  <si>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</si>
  <si>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</si>
  <si>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Short-Term Debt</t>
  </si>
  <si>
    <t xml:space="preserve">  Accrued Expenses</t>
  </si>
  <si>
    <t xml:space="preserve">  Taxes Payable</t>
  </si>
  <si>
    <t xml:space="preserve">  Unearned Revenue</t>
  </si>
  <si>
    <t xml:space="preserve">  Other Borrowings</t>
  </si>
  <si>
    <t xml:space="preserve">  Other Current Liabilities</t>
  </si>
  <si>
    <t>Total Current Liabilities</t>
  </si>
  <si>
    <t>Non-Current Liabilities</t>
  </si>
  <si>
    <t xml:space="preserve">  Long-Term Debt</t>
  </si>
  <si>
    <t xml:space="preserve">  Lease Liabilities</t>
  </si>
  <si>
    <t xml:space="preserve">  Deferred Tax Liability</t>
  </si>
  <si>
    <t xml:space="preserve">  Provisions</t>
  </si>
  <si>
    <t>Total Non-Current Liabilities</t>
  </si>
  <si>
    <t>TOTAL LIABILITIES</t>
  </si>
  <si>
    <t>Shareholder's Equity</t>
  </si>
  <si>
    <t xml:space="preserve">  Equity Share Capital</t>
  </si>
  <si>
    <t xml:space="preserve">  Share Premium</t>
  </si>
  <si>
    <t xml:space="preserve">  Retained Earnings</t>
  </si>
  <si>
    <t>Total Shareholder's Equity</t>
  </si>
  <si>
    <t>TOTAL LIABILITIES &amp; EQUITY</t>
  </si>
  <si>
    <t>MODEL INTEGRITY CHECKS</t>
  </si>
  <si>
    <t>Check Type</t>
  </si>
  <si>
    <t>Balance Sheet Check (Assets = Liab + Equity)</t>
  </si>
  <si>
    <t>Status</t>
  </si>
  <si>
    <t>Cash Flow Check (BS Cash = CF Calc)</t>
  </si>
  <si>
    <t>NWC Check (NWC = AR + Inv - AP)</t>
  </si>
  <si>
    <t>Retained Earnings Check</t>
  </si>
  <si>
    <t>OVERALL MODEL STATUS</t>
  </si>
  <si>
    <t>ASSUMPTIONS</t>
  </si>
  <si>
    <t>NET WORKING CAPITAL SCHEDULE</t>
  </si>
  <si>
    <t>INCOME STATEMENT</t>
  </si>
  <si>
    <t xml:space="preserve">CASH FLOW STATEMENT </t>
  </si>
  <si>
    <t xml:space="preserve">BALANCE SHEET </t>
  </si>
  <si>
    <t>Debt Schedule</t>
  </si>
  <si>
    <t>% Change</t>
  </si>
  <si>
    <t>% of Revenue</t>
  </si>
  <si>
    <t>+</t>
  </si>
  <si>
    <t>-</t>
  </si>
  <si>
    <t>NI Margin %</t>
  </si>
  <si>
    <t>Net PPE</t>
  </si>
  <si>
    <t>Retained Earnings</t>
  </si>
  <si>
    <t>Dividend</t>
  </si>
  <si>
    <t>Notes:</t>
  </si>
  <si>
    <t>Revenue forecast</t>
  </si>
  <si>
    <t xml:space="preserve">Cost of Goods Sold (COGS) Forecast </t>
  </si>
  <si>
    <t>Step 1</t>
  </si>
  <si>
    <t>Industry CAGR</t>
  </si>
  <si>
    <t>Historical COGS Margin</t>
  </si>
  <si>
    <t>IBEF</t>
  </si>
  <si>
    <t>Sector CAGR</t>
  </si>
  <si>
    <t>Industry CAGR Data</t>
  </si>
  <si>
    <t>RBI</t>
  </si>
  <si>
    <t>GDP</t>
  </si>
  <si>
    <t>Macro Data</t>
  </si>
  <si>
    <t>World Bank</t>
  </si>
  <si>
    <t>Macro</t>
  </si>
  <si>
    <t>Growth Rate By Country</t>
  </si>
  <si>
    <t>Step 2</t>
  </si>
  <si>
    <t>Historical Trend</t>
  </si>
  <si>
    <t>Negative trend is great</t>
  </si>
  <si>
    <t>Decide Future Margin Behavior (THIS IS KEY)</t>
  </si>
  <si>
    <t>Case Type</t>
  </si>
  <si>
    <t xml:space="preserve">Business Nature </t>
  </si>
  <si>
    <t>Typical Adjustment</t>
  </si>
  <si>
    <t>Manufacturing</t>
  </si>
  <si>
    <t>Physical product</t>
  </si>
  <si>
    <t xml:space="preserve">Improve0.5–1% </t>
  </si>
  <si>
    <t>Trend is Negative</t>
  </si>
  <si>
    <t>FMCG / Retail</t>
  </si>
  <si>
    <t xml:space="preserve">Consumer goods </t>
  </si>
  <si>
    <t>±0.2–0.5% tweak</t>
  </si>
  <si>
    <t>Step 3</t>
  </si>
  <si>
    <t>Forecast Rule</t>
  </si>
  <si>
    <t>SaaS / IT Services</t>
  </si>
  <si>
    <t xml:space="preserve">Software / digital </t>
  </si>
  <si>
    <t>Improve 0.3–0.7%</t>
  </si>
  <si>
    <t xml:space="preserve">Long-term growth id Lower than Industry CAGR </t>
  </si>
  <si>
    <t>Infrastructure</t>
  </si>
  <si>
    <t>Asset-heavy utilities</t>
  </si>
  <si>
    <t>Fuel inflation linked</t>
  </si>
  <si>
    <t>Commodity Business</t>
  </si>
  <si>
    <t xml:space="preserve">Raw material driven </t>
  </si>
  <si>
    <t>Link to price index</t>
  </si>
  <si>
    <t>Inflation Adjustment</t>
  </si>
  <si>
    <t>Apply raw material inflation</t>
  </si>
  <si>
    <t>Ratio Analysis</t>
  </si>
  <si>
    <t>Historical Result</t>
  </si>
  <si>
    <t xml:space="preserve"> Forecast Period</t>
  </si>
  <si>
    <t>PROFITABILITY</t>
  </si>
  <si>
    <t>Industry Avg.</t>
  </si>
  <si>
    <t>Gross Margin</t>
  </si>
  <si>
    <t>Pricing power + cost efficiency</t>
  </si>
  <si>
    <t>EBITDA Margin</t>
  </si>
  <si>
    <t>Core operating profitability</t>
  </si>
  <si>
    <t>EBIT Margin</t>
  </si>
  <si>
    <t>Operating efficiency after depreciation</t>
  </si>
  <si>
    <t>Net Profit Margin</t>
  </si>
  <si>
    <t>Final profit retained</t>
  </si>
  <si>
    <t>ROE</t>
  </si>
  <si>
    <t>Return to shareholders</t>
  </si>
  <si>
    <t>ROA</t>
  </si>
  <si>
    <t>Asset utilization efficiency</t>
  </si>
  <si>
    <t>ROIC</t>
  </si>
  <si>
    <t>Capital efficiency</t>
  </si>
  <si>
    <t>LIQUIDITY</t>
  </si>
  <si>
    <t>Current Ratio</t>
  </si>
  <si>
    <t>Short-term solvency</t>
  </si>
  <si>
    <t>Quick Ratio</t>
  </si>
  <si>
    <t>Liquidity without inventory</t>
  </si>
  <si>
    <t>Cash Ratio</t>
  </si>
  <si>
    <t>Pure cash safety</t>
  </si>
  <si>
    <t>Working Capital Ratio</t>
  </si>
  <si>
    <t>Operating liquidity intensity</t>
  </si>
  <si>
    <t>LEVERAGE</t>
  </si>
  <si>
    <t>Debt/Equity</t>
  </si>
  <si>
    <t>Capital structure risk</t>
  </si>
  <si>
    <t>Debt/EBITDA</t>
  </si>
  <si>
    <t>Debt repayment capacity</t>
  </si>
  <si>
    <t>Net Debt/EBITDA</t>
  </si>
  <si>
    <t>True leverage</t>
  </si>
  <si>
    <t>Interest Coverage</t>
  </si>
  <si>
    <t>Interest servicing ability</t>
  </si>
  <si>
    <t>Debt Ratio</t>
  </si>
  <si>
    <t>Balance sheet leverage</t>
  </si>
  <si>
    <t>EFFICIENCY</t>
  </si>
  <si>
    <t>Asset Turnover</t>
  </si>
  <si>
    <t>Asset productivity</t>
  </si>
  <si>
    <t>Fixed Asset Turnover</t>
  </si>
  <si>
    <t>Asset utilization</t>
  </si>
  <si>
    <t>Inventory Turnover</t>
  </si>
  <si>
    <t>Stock movement speed</t>
  </si>
  <si>
    <t>Receivable Turnover</t>
  </si>
  <si>
    <t>Collection efficiency</t>
  </si>
  <si>
    <t>WC</t>
  </si>
  <si>
    <t>DSO</t>
  </si>
  <si>
    <t>Collection days</t>
  </si>
  <si>
    <t>DIO</t>
  </si>
  <si>
    <t>Inventory holding period</t>
  </si>
  <si>
    <t>DPO</t>
  </si>
  <si>
    <t>Supplier credit period</t>
  </si>
  <si>
    <t>CCC</t>
  </si>
  <si>
    <t>Cash lock-up duration</t>
  </si>
  <si>
    <t>CASH FLOW</t>
  </si>
  <si>
    <t>Operating CF Margin</t>
  </si>
  <si>
    <t>Cash profitability</t>
  </si>
  <si>
    <t>FCF Margin</t>
  </si>
  <si>
    <t>Free cash strength</t>
  </si>
  <si>
    <t>Cash Conversion Ratio</t>
  </si>
  <si>
    <t>Earnings quality</t>
  </si>
  <si>
    <t>Capex Ratio</t>
  </si>
  <si>
    <t>Reinvestment intensity</t>
  </si>
  <si>
    <t>×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</si>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</sst>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;&quot;($&quot;#,##0\);\-"/>
    <numFmt numFmtId="166" formatCode="_-* #,##0_-;\(#,##0\)_-;_-* &quot;-&quot;_-;_-@"/>
  </numFmts>
  <fonts count="2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8000"/>
      <name val="Calibri"/>
      <family val="2"/>
      <scheme val="minor"/>
    </font>
    <font>
      <b/>
      <u val="double"/>
      <sz val="12"/>
      <name val="Calibri"/>
      <family val="2"/>
      <scheme val="minor"/>
    </font>
    <font>
      <b/>
      <u/>
      <sz val="14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name val="Arial"/>
      <family val="2"/>
    </font>
    <font>
      <u/>
      <sz val="11"/>
      <color theme="10"/>
      <name val="Calibri"/>
      <family val="2"/>
      <charset val="1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Segoe UI"/>
      <family val="2"/>
    </font>
    <font>
      <sz val="10"/>
      <name val="Segoe UI"/>
      <family val="2"/>
    </font>
    <font>
      <sz val="10"/>
      <color theme="1"/>
      <name val="Calibri "/>
    </font>
    <font>
      <sz val="14"/>
      <color theme="1"/>
      <name val="Aptos Narrow"/>
      <family val="2"/>
    </font>
    <font>
      <sz val="12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17" fillId="0" borderId="0" applyNumberForma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65" fontId="7" fillId="0" borderId="0" xfId="0" applyNumberFormat="1" applyFont="1"/>
    <xf numFmtId="165" fontId="6" fillId="0" borderId="0" xfId="0" applyNumberFormat="1" applyFont="1"/>
    <xf numFmtId="0" fontId="8" fillId="0" borderId="0" xfId="0" applyFont="1"/>
    <xf numFmtId="165" fontId="9" fillId="0" borderId="0" xfId="0" applyNumberFormat="1" applyFont="1"/>
    <xf numFmtId="165" fontId="4" fillId="0" borderId="0" xfId="0" applyNumberFormat="1" applyFont="1"/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2" fillId="0" borderId="0" xfId="0" applyFont="1"/>
    <xf numFmtId="0" fontId="13" fillId="3" borderId="0" xfId="0" applyFont="1" applyFill="1"/>
    <xf numFmtId="0" fontId="13" fillId="3" borderId="0" xfId="0" applyFont="1" applyFill="1" applyAlignment="1">
      <alignment horizontal="center" vertical="center"/>
    </xf>
    <xf numFmtId="0" fontId="14" fillId="0" borderId="0" xfId="0" applyFont="1"/>
    <xf numFmtId="0" fontId="4" fillId="4" borderId="0" xfId="0" applyFont="1" applyFill="1"/>
    <xf numFmtId="0" fontId="6" fillId="4" borderId="0" xfId="0" applyFont="1" applyFill="1" applyAlignment="1">
      <alignment horizontal="center" vertical="center"/>
    </xf>
    <xf numFmtId="0" fontId="13" fillId="3" borderId="1" xfId="0" applyFont="1" applyFill="1" applyBorder="1"/>
    <xf numFmtId="0" fontId="6" fillId="0" borderId="1" xfId="0" applyFont="1" applyBorder="1"/>
    <xf numFmtId="165" fontId="9" fillId="0" borderId="1" xfId="0" applyNumberFormat="1" applyFont="1" applyBorder="1"/>
    <xf numFmtId="165" fontId="7" fillId="0" borderId="1" xfId="0" applyNumberFormat="1" applyFont="1" applyBorder="1"/>
    <xf numFmtId="165" fontId="6" fillId="0" borderId="1" xfId="0" applyNumberFormat="1" applyFont="1" applyBorder="1"/>
    <xf numFmtId="1" fontId="9" fillId="0" borderId="1" xfId="0" applyNumberFormat="1" applyFont="1" applyBorder="1"/>
    <xf numFmtId="0" fontId="6" fillId="0" borderId="2" xfId="0" applyFont="1" applyBorder="1"/>
    <xf numFmtId="0" fontId="0" fillId="0" borderId="0" xfId="0" applyAlignment="1">
      <alignment vertical="center"/>
    </xf>
    <xf numFmtId="0" fontId="13" fillId="3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5" borderId="4" xfId="0" applyFont="1" applyFill="1" applyBorder="1"/>
    <xf numFmtId="0" fontId="5" fillId="5" borderId="4" xfId="0" applyFont="1" applyFill="1" applyBorder="1"/>
    <xf numFmtId="165" fontId="4" fillId="5" borderId="5" xfId="0" applyNumberFormat="1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9" fontId="1" fillId="0" borderId="0" xfId="1" applyAlignment="1">
      <alignment horizontal="center"/>
    </xf>
    <xf numFmtId="0" fontId="15" fillId="0" borderId="0" xfId="0" applyFont="1"/>
    <xf numFmtId="0" fontId="15" fillId="0" borderId="1" xfId="0" applyFont="1" applyBorder="1" applyAlignment="1">
      <alignment horizontal="center"/>
    </xf>
    <xf numFmtId="9" fontId="16" fillId="0" borderId="0" xfId="1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right"/>
    </xf>
    <xf numFmtId="1" fontId="6" fillId="0" borderId="0" xfId="0" applyNumberFormat="1" applyFont="1"/>
    <xf numFmtId="165" fontId="4" fillId="0" borderId="3" xfId="0" applyNumberFormat="1" applyFont="1" applyBorder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indent="1"/>
    </xf>
    <xf numFmtId="0" fontId="10" fillId="5" borderId="4" xfId="0" applyFont="1" applyFill="1" applyBorder="1"/>
    <xf numFmtId="0" fontId="15" fillId="0" borderId="0" xfId="0" applyFont="1" applyAlignment="1">
      <alignment horizontal="center"/>
    </xf>
    <xf numFmtId="0" fontId="4" fillId="5" borderId="4" xfId="0" applyFont="1" applyFill="1" applyBorder="1"/>
    <xf numFmtId="165" fontId="4" fillId="5" borderId="5" xfId="0" applyNumberFormat="1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165" fontId="6" fillId="5" borderId="5" xfId="0" applyNumberFormat="1" applyFont="1" applyFill="1" applyBorder="1"/>
    <xf numFmtId="165" fontId="6" fillId="5" borderId="6" xfId="0" applyNumberFormat="1" applyFont="1" applyFill="1" applyBorder="1"/>
    <xf numFmtId="165" fontId="6" fillId="5" borderId="7" xfId="0" applyNumberFormat="1" applyFont="1" applyFill="1" applyBorder="1"/>
    <xf numFmtId="0" fontId="10" fillId="0" borderId="0" xfId="0" applyFont="1"/>
    <xf numFmtId="0" fontId="10" fillId="0" borderId="1" xfId="0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6" fillId="5" borderId="5" xfId="0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1" fontId="12" fillId="5" borderId="7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left"/>
    </xf>
    <xf numFmtId="0" fontId="4" fillId="0" borderId="2" xfId="0" applyFont="1" applyBorder="1"/>
    <xf numFmtId="0" fontId="6" fillId="0" borderId="8" xfId="0" applyFont="1" applyBorder="1"/>
    <xf numFmtId="165" fontId="4" fillId="0" borderId="9" xfId="0" applyNumberFormat="1" applyFont="1" applyBorder="1"/>
    <xf numFmtId="165" fontId="6" fillId="0" borderId="8" xfId="0" applyNumberFormat="1" applyFont="1" applyBorder="1"/>
    <xf numFmtId="165" fontId="14" fillId="0" borderId="0" xfId="0" applyNumberFormat="1" applyFont="1"/>
    <xf numFmtId="0" fontId="12" fillId="0" borderId="1" xfId="0" applyFont="1" applyBorder="1" applyAlignment="1">
      <alignment horizontal="center"/>
    </xf>
    <xf numFmtId="165" fontId="4" fillId="5" borderId="6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9" xfId="0" applyFont="1" applyBorder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3" fillId="0" borderId="15" xfId="0" applyFont="1" applyBorder="1" applyAlignment="1">
      <alignment horizontal="left"/>
    </xf>
    <xf numFmtId="0" fontId="18" fillId="0" borderId="10" xfId="0" applyFont="1" applyBorder="1"/>
    <xf numFmtId="0" fontId="0" fillId="0" borderId="11" xfId="0" applyBorder="1"/>
    <xf numFmtId="0" fontId="0" fillId="0" borderId="12" xfId="0" applyBorder="1"/>
    <xf numFmtId="0" fontId="3" fillId="0" borderId="13" xfId="0" applyFont="1" applyBorder="1"/>
    <xf numFmtId="0" fontId="3" fillId="0" borderId="0" xfId="0" applyFont="1"/>
    <xf numFmtId="0" fontId="0" fillId="0" borderId="14" xfId="0" applyBorder="1"/>
    <xf numFmtId="0" fontId="3" fillId="0" borderId="15" xfId="0" applyFont="1" applyBorder="1"/>
    <xf numFmtId="0" fontId="3" fillId="0" borderId="16" xfId="0" applyFont="1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19" fillId="0" borderId="0" xfId="0" applyFont="1"/>
    <xf numFmtId="0" fontId="17" fillId="0" borderId="0" xfId="2" applyBorder="1" applyAlignment="1"/>
    <xf numFmtId="10" fontId="0" fillId="0" borderId="0" xfId="0" applyNumberFormat="1"/>
    <xf numFmtId="10" fontId="0" fillId="0" borderId="14" xfId="0" applyNumberFormat="1" applyBorder="1"/>
    <xf numFmtId="0" fontId="0" fillId="0" borderId="18" xfId="0" applyBorder="1"/>
    <xf numFmtId="0" fontId="3" fillId="0" borderId="19" xfId="0" applyFont="1" applyBorder="1"/>
    <xf numFmtId="0" fontId="19" fillId="0" borderId="19" xfId="0" applyFont="1" applyBorder="1"/>
    <xf numFmtId="0" fontId="0" fillId="0" borderId="19" xfId="0" applyBorder="1"/>
    <xf numFmtId="0" fontId="17" fillId="0" borderId="19" xfId="2" applyBorder="1" applyAlignment="1"/>
    <xf numFmtId="0" fontId="0" fillId="0" borderId="20" xfId="0" applyBorder="1"/>
    <xf numFmtId="10" fontId="0" fillId="0" borderId="19" xfId="0" applyNumberFormat="1" applyBorder="1"/>
    <xf numFmtId="10" fontId="0" fillId="0" borderId="20" xfId="0" applyNumberFormat="1" applyBorder="1"/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2" fillId="4" borderId="19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7" borderId="21" xfId="0" applyFont="1" applyFill="1" applyBorder="1" applyAlignment="1">
      <alignment horizontal="left" vertical="center"/>
    </xf>
    <xf numFmtId="10" fontId="23" fillId="0" borderId="0" xfId="1" applyNumberFormat="1" applyFont="1" applyAlignment="1">
      <alignment horizontal="center" vertical="center"/>
    </xf>
    <xf numFmtId="9" fontId="22" fillId="7" borderId="21" xfId="0" applyNumberFormat="1" applyFont="1" applyFill="1" applyBorder="1" applyAlignment="1">
      <alignment horizontal="right" vertical="center"/>
    </xf>
    <xf numFmtId="10" fontId="23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6" fontId="24" fillId="0" borderId="0" xfId="0" applyNumberFormat="1" applyFont="1"/>
    <xf numFmtId="9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5" borderId="5" xfId="0" applyFont="1" applyFill="1" applyBorder="1"/>
    <xf numFmtId="165" fontId="7" fillId="5" borderId="5" xfId="0" applyNumberFormat="1" applyFont="1" applyFill="1" applyBorder="1"/>
    <xf numFmtId="165" fontId="4" fillId="5" borderId="7" xfId="0" applyNumberFormat="1" applyFont="1" applyFill="1" applyBorder="1"/>
    <xf numFmtId="165" fontId="26" fillId="0" borderId="0" xfId="0" applyNumberFormat="1" applyFont="1"/>
    <xf numFmtId="1" fontId="26" fillId="0" borderId="0" xfId="0" applyNumberFormat="1" applyFont="1"/>
    <xf numFmtId="0" fontId="3" fillId="0" borderId="19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'[1]Ratio Analysis'!$B$7:$C$7</c:f>
              <c:strCache>
                <c:ptCount val="1"/>
                <c:pt idx="0">
                  <c:v>Gross Margin Pricing power + cost 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'[1]Ratio Analysis'!$D$7:$N$7</c:f>
              <c:numCache>
                <c:formatCode>General</c:formatCode>
                <c:ptCount val="11"/>
                <c:pt idx="1">
                  <c:v>0.21859395288443695</c:v>
                </c:pt>
                <c:pt idx="2">
                  <c:v>0.18373268438786972</c:v>
                </c:pt>
                <c:pt idx="3">
                  <c:v>0.1529268292682926</c:v>
                </c:pt>
                <c:pt idx="4">
                  <c:v>0.1331481481481481</c:v>
                </c:pt>
                <c:pt idx="5">
                  <c:v>0.17057215918171639</c:v>
                </c:pt>
                <c:pt idx="6">
                  <c:v>0.17179475477409295</c:v>
                </c:pt>
                <c:pt idx="7">
                  <c:v>0.16243491515202405</c:v>
                </c:pt>
                <c:pt idx="8">
                  <c:v>0.15817536130485482</c:v>
                </c:pt>
                <c:pt idx="9">
                  <c:v>0.15922506771216727</c:v>
                </c:pt>
                <c:pt idx="10">
                  <c:v>0.16444045162497109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B-480F-B20C-3768759F5D4A}"/>
            </c:ext>
          </c:extLst>
        </c:ser>
        <c:ser>
          <c:idx val="1"/>
          <c:order val="1"/>
          <c:tx>
            <c:strRef>
              <c:f>'[1]Ratio Analysis'!$B$8:$C$8</c:f>
              <c:strCache>
                <c:ptCount val="1"/>
                <c:pt idx="0">
                  <c:v>EBITDA Margin Core operating profitability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'[1]Ratio Analysis'!$D$8:$N$8</c:f>
              <c:numCache>
                <c:formatCode>General</c:formatCode>
                <c:ptCount val="11"/>
                <c:pt idx="1">
                  <c:v>0.11203858282322389</c:v>
                </c:pt>
                <c:pt idx="2">
                  <c:v>9.30363159865219E-2</c:v>
                </c:pt>
                <c:pt idx="3">
                  <c:v>7.926829268292683E-2</c:v>
                </c:pt>
                <c:pt idx="4">
                  <c:v>6.7901234567901231E-2</c:v>
                </c:pt>
                <c:pt idx="5">
                  <c:v>8.8540834265622509E-2</c:v>
                </c:pt>
                <c:pt idx="6">
                  <c:v>8.8157052065239466E-2</c:v>
                </c:pt>
                <c:pt idx="7">
                  <c:v>8.3380745913642473E-2</c:v>
                </c:pt>
                <c:pt idx="8">
                  <c:v>8.1449631899066496E-2</c:v>
                </c:pt>
                <c:pt idx="9">
                  <c:v>8.1885899742294446E-2</c:v>
                </c:pt>
                <c:pt idx="10">
                  <c:v>8.4682832777173062E-2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B-480F-B20C-3768759F5D4A}"/>
            </c:ext>
          </c:extLst>
        </c:ser>
        <c:ser>
          <c:idx val="2"/>
          <c:order val="2"/>
          <c:tx>
            <c:strRef>
              <c:f>'[1]Ratio Analysis'!$B$9:$C$9</c:f>
              <c:strCache>
                <c:ptCount val="1"/>
                <c:pt idx="0">
                  <c:v>EBIT Margin Operating efficiency after depreciation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'[1]Ratio Analysis'!$D$9:$N$9</c:f>
              <c:numCache>
                <c:formatCode>General</c:formatCode>
                <c:ptCount val="11"/>
                <c:pt idx="1">
                  <c:v>9.6642552402151735E-2</c:v>
                </c:pt>
                <c:pt idx="2">
                  <c:v>7.5814301759640587E-2</c:v>
                </c:pt>
                <c:pt idx="3">
                  <c:v>6.6395663956639567E-2</c:v>
                </c:pt>
                <c:pt idx="4">
                  <c:v>5.7581018518518517E-2</c:v>
                </c:pt>
                <c:pt idx="5">
                  <c:v>8.0549784241649353E-2</c:v>
                </c:pt>
                <c:pt idx="6">
                  <c:v>8.8157052065239466E-2</c:v>
                </c:pt>
                <c:pt idx="7">
                  <c:v>8.3380745913642473E-2</c:v>
                </c:pt>
                <c:pt idx="8">
                  <c:v>8.1449631899066496E-2</c:v>
                </c:pt>
                <c:pt idx="9">
                  <c:v>8.1885899742294446E-2</c:v>
                </c:pt>
                <c:pt idx="10">
                  <c:v>8.4682832777173062E-2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1B-480F-B20C-3768759F5D4A}"/>
            </c:ext>
          </c:extLst>
        </c:ser>
        <c:ser>
          <c:idx val="3"/>
          <c:order val="3"/>
          <c:tx>
            <c:strRef>
              <c:f>'[1]Ratio Analysis'!$B$10:$C$10</c:f>
              <c:strCache>
                <c:ptCount val="1"/>
                <c:pt idx="0">
                  <c:v>Net Profit Margin Final profit 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val>
            <c:numRef>
              <c:f>'[1]Ratio Analysis'!$D$10:$N$10</c:f>
              <c:numCache>
                <c:formatCode>General</c:formatCode>
                <c:ptCount val="11"/>
                <c:pt idx="1">
                  <c:v>6.584307178631052E-2</c:v>
                </c:pt>
                <c:pt idx="2">
                  <c:v>5.1486334706102574E-2</c:v>
                </c:pt>
                <c:pt idx="3">
                  <c:v>4.1756097560975605E-2</c:v>
                </c:pt>
                <c:pt idx="4">
                  <c:v>3.3194444444444443E-2</c:v>
                </c:pt>
                <c:pt idx="5">
                  <c:v>4.9423046188269142E-2</c:v>
                </c:pt>
                <c:pt idx="6">
                  <c:v>6.347307748697241E-2</c:v>
                </c:pt>
                <c:pt idx="7">
                  <c:v>6.0034137057822574E-2</c:v>
                </c:pt>
                <c:pt idx="8">
                  <c:v>5.864373496732788E-2</c:v>
                </c:pt>
                <c:pt idx="9">
                  <c:v>5.8957847814452E-2</c:v>
                </c:pt>
                <c:pt idx="10">
                  <c:v>6.0971639599564607E-2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1B-480F-B20C-3768759F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145032"/>
        <c:axId val="830140352"/>
      </c:barChart>
      <c:catAx>
        <c:axId val="8301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0352"/>
        <c:crosses val="autoZero"/>
        <c:auto val="1"/>
        <c:lblAlgn val="ctr"/>
        <c:lblOffset val="100"/>
        <c:noMultiLvlLbl val="0"/>
      </c:catAx>
      <c:valAx>
        <c:axId val="8301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603738</xdr:colOff>
      <xdr:row>1</xdr:row>
      <xdr:rowOff>120695</xdr:rowOff>
    </xdr:from>
    <xdr:to>
      <xdr:col>32</xdr:col>
      <xdr:colOff>50622</xdr:colOff>
      <xdr:row>16</xdr:row>
      <xdr:rowOff>22648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1C38E-7B88-44CC-8C4D-638EF82E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Three%20stateemnt%20modle%20and%20ratio%20anaysis.xlsx" TargetMode="External"/><Relationship Id="rId1" Type="http://schemas.openxmlformats.org/officeDocument/2006/relationships/externalLinkPath" Target="Three%20stateemnt%20modle%20and%20ratio%20ana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les"/>
      <sheetName val="IS"/>
      <sheetName val="BS"/>
      <sheetName val="Sheet5"/>
      <sheetName val="CFS"/>
      <sheetName val="Sheet6"/>
      <sheetName val="Supporting Schedules"/>
      <sheetName val="Ratio Analysis"/>
      <sheetName val="Sheet3"/>
      <sheetName val="Sheet1"/>
      <sheetName val="Sheet7"/>
    </sheetNames>
    <sheetDataSet>
      <sheetData sheetId="0"/>
      <sheetData sheetId="1">
        <row r="5">
          <cell r="F5">
            <v>5391</v>
          </cell>
          <cell r="G5">
            <v>5342</v>
          </cell>
          <cell r="H5">
            <v>7380</v>
          </cell>
          <cell r="I5">
            <v>10368</v>
          </cell>
          <cell r="J5">
            <v>12514</v>
          </cell>
          <cell r="K5">
            <v>15593.310297229693</v>
          </cell>
          <cell r="L5">
            <v>19118.477890722304</v>
          </cell>
          <cell r="M5">
            <v>23058.207836645226</v>
          </cell>
          <cell r="N5">
            <v>27348.630727405765</v>
          </cell>
          <cell r="O5">
            <v>31890.396671165759</v>
          </cell>
        </row>
        <row r="9">
          <cell r="F9">
            <v>1178.4399999999996</v>
          </cell>
          <cell r="G9">
            <v>981.5</v>
          </cell>
          <cell r="H9">
            <v>1128.5999999999995</v>
          </cell>
          <cell r="I9">
            <v>1380.4799999999996</v>
          </cell>
          <cell r="J9">
            <v>2134.5399999999991</v>
          </cell>
          <cell r="K9">
            <v>2678.8489186289135</v>
          </cell>
          <cell r="L9">
            <v>3105.5083340153251</v>
          </cell>
          <cell r="M9">
            <v>3647.2403556037934</v>
          </cell>
          <cell r="N9">
            <v>4354.5875794062413</v>
          </cell>
          <cell r="O9">
            <v>5244.0712311059724</v>
          </cell>
        </row>
        <row r="12">
          <cell r="F12">
            <v>604</v>
          </cell>
          <cell r="G12">
            <v>497</v>
          </cell>
          <cell r="H12">
            <v>585</v>
          </cell>
          <cell r="I12">
            <v>704</v>
          </cell>
          <cell r="J12">
            <v>1108</v>
          </cell>
          <cell r="K12">
            <v>1374.6602677423127</v>
          </cell>
          <cell r="L12">
            <v>1594.1129472619077</v>
          </cell>
          <cell r="M12">
            <v>1878.0825405469241</v>
          </cell>
          <cell r="N12">
            <v>2239.4672338333817</v>
          </cell>
          <cell r="O12">
            <v>2700.5691285020466</v>
          </cell>
        </row>
        <row r="15">
          <cell r="F15">
            <v>521</v>
          </cell>
          <cell r="G15">
            <v>405</v>
          </cell>
          <cell r="H15">
            <v>490</v>
          </cell>
          <cell r="I15">
            <v>597</v>
          </cell>
          <cell r="J15">
            <v>1008</v>
          </cell>
          <cell r="K15">
            <v>1374.6602677423127</v>
          </cell>
          <cell r="L15">
            <v>1594.1129472619077</v>
          </cell>
          <cell r="M15">
            <v>1878.0825405469241</v>
          </cell>
          <cell r="N15">
            <v>2239.4672338333817</v>
          </cell>
          <cell r="O15">
            <v>2700.5691285020466</v>
          </cell>
        </row>
        <row r="20">
          <cell r="F20">
            <v>0.28000000000000003</v>
          </cell>
        </row>
        <row r="21">
          <cell r="F21">
            <v>354.96</v>
          </cell>
          <cell r="G21">
            <v>275.03999999999996</v>
          </cell>
          <cell r="H21">
            <v>308.15999999999997</v>
          </cell>
          <cell r="I21">
            <v>344.15999999999997</v>
          </cell>
          <cell r="J21">
            <v>618.48</v>
          </cell>
          <cell r="K21">
            <v>989.75539277446512</v>
          </cell>
          <cell r="L21">
            <v>1147.7613220285734</v>
          </cell>
          <cell r="M21">
            <v>1352.2194291937853</v>
          </cell>
          <cell r="N21">
            <v>1612.4164083600349</v>
          </cell>
          <cell r="O21">
            <v>1944.4097725214735</v>
          </cell>
        </row>
      </sheetData>
      <sheetData sheetId="2">
        <row r="22"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/>
          <cell r="L22"/>
          <cell r="M22"/>
          <cell r="N22"/>
          <cell r="O22"/>
        </row>
        <row r="50">
          <cell r="F50">
            <v>4757.96</v>
          </cell>
          <cell r="G50">
            <v>4941.04</v>
          </cell>
          <cell r="H50">
            <v>5519.16</v>
          </cell>
          <cell r="I50">
            <v>6215.16</v>
          </cell>
          <cell r="J50">
            <v>6944.48</v>
          </cell>
          <cell r="K50">
            <v>989.75539277446512</v>
          </cell>
          <cell r="L50">
            <v>1147.7613220285734</v>
          </cell>
          <cell r="M50">
            <v>1352.2194291937853</v>
          </cell>
          <cell r="N50">
            <v>1612.4164083600349</v>
          </cell>
          <cell r="O50">
            <v>1944.4097725214735</v>
          </cell>
        </row>
      </sheetData>
      <sheetData sheetId="3"/>
      <sheetData sheetId="4"/>
      <sheetData sheetId="5"/>
      <sheetData sheetId="6">
        <row r="14"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/>
          <cell r="L14"/>
          <cell r="M14"/>
          <cell r="N14"/>
          <cell r="O14"/>
        </row>
        <row r="22">
          <cell r="F22">
            <v>45500.000000000007</v>
          </cell>
          <cell r="G22">
            <v>42350.000000000007</v>
          </cell>
          <cell r="H22">
            <v>40145.000000000007</v>
          </cell>
          <cell r="I22">
            <v>38601.000000000007</v>
          </cell>
          <cell r="J22">
            <v>37521.000000000007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</row>
      </sheetData>
      <sheetData sheetId="7">
        <row r="7">
          <cell r="B7" t="str">
            <v>Gross Margin</v>
          </cell>
          <cell r="C7" t="str">
            <v>Pricing power + cost efficiency</v>
          </cell>
          <cell r="D7"/>
          <cell r="E7">
            <v>0.21859395288443695</v>
          </cell>
          <cell r="F7">
            <v>0.18373268438786972</v>
          </cell>
          <cell r="G7">
            <v>0.1529268292682926</v>
          </cell>
          <cell r="H7">
            <v>0.1331481481481481</v>
          </cell>
          <cell r="I7">
            <v>0.17057215918171639</v>
          </cell>
          <cell r="J7">
            <v>0.17179475477409295</v>
          </cell>
          <cell r="K7">
            <v>0.16243491515202405</v>
          </cell>
          <cell r="L7">
            <v>0.15817536130485482</v>
          </cell>
          <cell r="M7">
            <v>0.15922506771216727</v>
          </cell>
          <cell r="N7">
            <v>0.16444045162497109</v>
          </cell>
        </row>
        <row r="8">
          <cell r="B8" t="str">
            <v>EBITDA Margin</v>
          </cell>
          <cell r="C8" t="str">
            <v>Core operating profitability</v>
          </cell>
          <cell r="D8"/>
          <cell r="E8">
            <v>0.11203858282322389</v>
          </cell>
          <cell r="F8">
            <v>9.30363159865219E-2</v>
          </cell>
          <cell r="G8">
            <v>7.926829268292683E-2</v>
          </cell>
          <cell r="H8">
            <v>6.7901234567901231E-2</v>
          </cell>
          <cell r="I8">
            <v>8.8540834265622509E-2</v>
          </cell>
          <cell r="J8">
            <v>8.8157052065239466E-2</v>
          </cell>
          <cell r="K8">
            <v>8.3380745913642473E-2</v>
          </cell>
          <cell r="L8">
            <v>8.1449631899066496E-2</v>
          </cell>
          <cell r="M8">
            <v>8.1885899742294446E-2</v>
          </cell>
          <cell r="N8">
            <v>8.4682832777173062E-2</v>
          </cell>
        </row>
        <row r="9">
          <cell r="B9" t="str">
            <v>EBIT Margin</v>
          </cell>
          <cell r="C9" t="str">
            <v>Operating efficiency after depreciation</v>
          </cell>
          <cell r="D9"/>
          <cell r="E9">
            <v>9.6642552402151735E-2</v>
          </cell>
          <cell r="F9">
            <v>7.5814301759640587E-2</v>
          </cell>
          <cell r="G9">
            <v>6.6395663956639567E-2</v>
          </cell>
          <cell r="H9">
            <v>5.7581018518518517E-2</v>
          </cell>
          <cell r="I9">
            <v>8.0549784241649353E-2</v>
          </cell>
          <cell r="J9">
            <v>8.8157052065239466E-2</v>
          </cell>
          <cell r="K9">
            <v>8.3380745913642473E-2</v>
          </cell>
          <cell r="L9">
            <v>8.1449631899066496E-2</v>
          </cell>
          <cell r="M9">
            <v>8.1885899742294446E-2</v>
          </cell>
          <cell r="N9">
            <v>8.4682832777173062E-2</v>
          </cell>
        </row>
        <row r="10">
          <cell r="B10" t="str">
            <v>Net Profit Margin</v>
          </cell>
          <cell r="C10" t="str">
            <v>Final profit retained</v>
          </cell>
          <cell r="D10"/>
          <cell r="E10">
            <v>6.584307178631052E-2</v>
          </cell>
          <cell r="F10">
            <v>5.1486334706102574E-2</v>
          </cell>
          <cell r="G10">
            <v>4.1756097560975605E-2</v>
          </cell>
          <cell r="H10">
            <v>3.3194444444444443E-2</v>
          </cell>
          <cell r="I10">
            <v>4.9423046188269142E-2</v>
          </cell>
          <cell r="J10">
            <v>6.347307748697241E-2</v>
          </cell>
          <cell r="K10">
            <v>6.0034137057822574E-2</v>
          </cell>
          <cell r="L10">
            <v>5.864373496732788E-2</v>
          </cell>
          <cell r="M10">
            <v>5.8957847814452E-2</v>
          </cell>
          <cell r="N10">
            <v>6.0971639599564607E-2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NY.GDP.MKTP.KD.ZG?utm_source=chatgpt.com" TargetMode="External"/><Relationship Id="rId2" Type="http://schemas.openxmlformats.org/officeDocument/2006/relationships/hyperlink" Target="https://rbi.org.in/Scripts/AnnualPublications.aspx?head=Handbook%20of%20Statistics%20on%20Indian%20Economy" TargetMode="External"/><Relationship Id="rId1" Type="http://schemas.openxmlformats.org/officeDocument/2006/relationships/hyperlink" Target="https://www.ibef.org/industry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V31"/>
  <sheetViews>
    <sheetView showGridLines="0" zoomScale="70" zoomScaleNormal="70" workbookViewId="0">
      <pane ySplit="3" topLeftCell="A4" activePane="bottomLeft" state="frozen"/>
      <selection pane="bottomLeft" activeCell="J19" sqref="J19"/>
    </sheetView>
  </sheetViews>
  <sheetFormatPr defaultColWidth="8.6640625" defaultRowHeight="15.6"/>
  <cols>
    <col min="1" max="1" width="8.6640625" style="4"/>
    <col min="2" max="2" width="35" style="4" customWidth="1"/>
    <col min="3" max="7" width="15" style="14" customWidth="1"/>
    <col min="8" max="8" width="8.6640625" style="4"/>
    <col min="9" max="15" width="13.88671875" style="4" customWidth="1"/>
    <col min="16" max="16" width="8.6640625" style="4"/>
    <col min="17" max="22" width="17.88671875" style="4" customWidth="1"/>
    <col min="23" max="16384" width="8.6640625" style="4"/>
  </cols>
  <sheetData>
    <row r="1" spans="2:22" ht="20.399999999999999">
      <c r="B1" s="10" t="s">
        <v>137</v>
      </c>
    </row>
    <row r="2" spans="2:22" customFormat="1">
      <c r="C2" s="14"/>
      <c r="D2" s="15"/>
      <c r="E2" s="15"/>
      <c r="F2" s="15"/>
      <c r="G2" s="15"/>
    </row>
    <row r="3" spans="2:22" ht="16.2" thickBot="1">
      <c r="B3" s="20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I3" t="s">
        <v>151</v>
      </c>
      <c r="J3"/>
      <c r="K3"/>
      <c r="L3"/>
      <c r="M3"/>
      <c r="N3"/>
      <c r="O3"/>
      <c r="P3"/>
      <c r="Q3"/>
      <c r="R3"/>
      <c r="S3"/>
      <c r="T3"/>
      <c r="U3"/>
      <c r="V3"/>
    </row>
    <row r="4" spans="2:22">
      <c r="I4" s="98" t="s">
        <v>152</v>
      </c>
      <c r="J4" s="99"/>
      <c r="K4" s="99"/>
      <c r="L4" s="99"/>
      <c r="M4" s="99"/>
      <c r="N4" s="99"/>
      <c r="O4" s="100"/>
      <c r="P4"/>
      <c r="Q4" s="98" t="s">
        <v>153</v>
      </c>
      <c r="R4" s="99"/>
      <c r="S4" s="99"/>
      <c r="T4" s="99"/>
      <c r="U4" s="99"/>
      <c r="V4" s="100"/>
    </row>
    <row r="5" spans="2:22">
      <c r="B5" s="23" t="s">
        <v>0</v>
      </c>
      <c r="C5" s="24"/>
      <c r="D5" s="24"/>
      <c r="E5" s="24"/>
      <c r="F5" s="24"/>
      <c r="G5" s="24"/>
      <c r="I5" s="101" t="s">
        <v>154</v>
      </c>
      <c r="J5" s="102" t="s">
        <v>155</v>
      </c>
      <c r="K5"/>
      <c r="L5"/>
      <c r="M5"/>
      <c r="N5"/>
      <c r="O5" s="103"/>
      <c r="P5"/>
      <c r="Q5" s="104" t="s">
        <v>154</v>
      </c>
      <c r="R5" s="105" t="s">
        <v>156</v>
      </c>
      <c r="S5" s="106"/>
      <c r="T5" s="106"/>
      <c r="U5" s="106"/>
      <c r="V5" s="107"/>
    </row>
    <row r="6" spans="2:22">
      <c r="B6" s="22" t="s">
        <v>7</v>
      </c>
      <c r="C6" s="16">
        <v>0.08</v>
      </c>
      <c r="D6" s="16">
        <v>0.1</v>
      </c>
      <c r="E6" s="16">
        <v>0.09</v>
      </c>
      <c r="F6" s="16">
        <v>7.4999999999999997E-2</v>
      </c>
      <c r="G6" s="16">
        <v>6.5000000000000002E-2</v>
      </c>
      <c r="I6" s="108"/>
      <c r="J6" s="102" t="s">
        <v>157</v>
      </c>
      <c r="K6" s="109" t="s">
        <v>158</v>
      </c>
      <c r="L6"/>
      <c r="M6" s="110" t="s">
        <v>159</v>
      </c>
      <c r="N6"/>
      <c r="O6" s="103"/>
      <c r="P6"/>
      <c r="Q6" s="108"/>
      <c r="R6" s="90" t="e">
        <f>#REF!</f>
        <v>#REF!</v>
      </c>
      <c r="S6" s="90" t="e">
        <f>#REF!</f>
        <v>#REF!</v>
      </c>
      <c r="T6" s="90" t="e">
        <f>#REF!</f>
        <v>#REF!</v>
      </c>
      <c r="U6" s="90">
        <f>A3</f>
        <v>0</v>
      </c>
      <c r="V6" s="91" t="str">
        <f>B3</f>
        <v>Year</v>
      </c>
    </row>
    <row r="7" spans="2:22">
      <c r="B7" s="22"/>
      <c r="I7" s="108"/>
      <c r="J7" s="102" t="s">
        <v>160</v>
      </c>
      <c r="K7" s="109" t="s">
        <v>161</v>
      </c>
      <c r="L7"/>
      <c r="M7" s="110" t="s">
        <v>162</v>
      </c>
      <c r="N7"/>
      <c r="O7" s="103"/>
      <c r="P7"/>
      <c r="Q7" s="108"/>
      <c r="R7" s="111" t="e">
        <f>#REF!</f>
        <v>#REF!</v>
      </c>
      <c r="S7" s="111" t="e">
        <f>#REF!</f>
        <v>#REF!</v>
      </c>
      <c r="T7" s="111" t="e">
        <f>#REF!</f>
        <v>#REF!</v>
      </c>
      <c r="U7" s="111">
        <f>A8</f>
        <v>0</v>
      </c>
      <c r="V7" s="112" t="str">
        <f>B8</f>
        <v>COST ASSUMPTIONS (% of Revenue)</v>
      </c>
    </row>
    <row r="8" spans="2:22">
      <c r="B8" s="23" t="s">
        <v>8</v>
      </c>
      <c r="C8" s="24"/>
      <c r="D8" s="24"/>
      <c r="E8" s="24"/>
      <c r="F8" s="24"/>
      <c r="G8" s="24"/>
      <c r="I8" s="113"/>
      <c r="J8" s="114" t="s">
        <v>163</v>
      </c>
      <c r="K8" s="115" t="s">
        <v>164</v>
      </c>
      <c r="L8" s="116"/>
      <c r="M8" s="117" t="s">
        <v>165</v>
      </c>
      <c r="N8" s="116"/>
      <c r="O8" s="118"/>
      <c r="P8"/>
      <c r="Q8" s="108"/>
      <c r="R8"/>
      <c r="S8" s="119" t="e">
        <f>S7-R7</f>
        <v>#REF!</v>
      </c>
      <c r="T8" s="119" t="e">
        <f>T7-S7</f>
        <v>#REF!</v>
      </c>
      <c r="U8" s="119" t="e">
        <f>U7-T7</f>
        <v>#REF!</v>
      </c>
      <c r="V8" s="120" t="e">
        <f>V7-U7</f>
        <v>#VALUE!</v>
      </c>
    </row>
    <row r="9" spans="2:22">
      <c r="B9" s="22" t="s">
        <v>9</v>
      </c>
      <c r="C9" s="16">
        <v>0.55000000000000004</v>
      </c>
      <c r="D9" s="16">
        <v>0.54500000000000004</v>
      </c>
      <c r="E9" s="16">
        <v>0.54</v>
      </c>
      <c r="F9" s="16">
        <v>0.53500000000000003</v>
      </c>
      <c r="G9" s="16">
        <v>0.53</v>
      </c>
      <c r="I9" s="92" t="s">
        <v>166</v>
      </c>
      <c r="J9" s="93" t="s">
        <v>167</v>
      </c>
      <c r="K9"/>
      <c r="L9"/>
      <c r="M9"/>
      <c r="N9"/>
      <c r="O9" s="103"/>
      <c r="P9"/>
      <c r="Q9" s="113"/>
      <c r="R9" s="116"/>
      <c r="S9" s="116"/>
      <c r="T9" s="114" t="s">
        <v>168</v>
      </c>
      <c r="U9" s="116"/>
      <c r="V9" s="118"/>
    </row>
    <row r="10" spans="2:22">
      <c r="B10" s="22" t="s">
        <v>10</v>
      </c>
      <c r="C10" s="16">
        <v>0.25</v>
      </c>
      <c r="D10" s="16">
        <v>0.245</v>
      </c>
      <c r="E10" s="16">
        <v>0.24</v>
      </c>
      <c r="F10" s="16">
        <v>0.23499999999999999</v>
      </c>
      <c r="G10" s="16">
        <v>0.23</v>
      </c>
      <c r="I10" s="108"/>
      <c r="J10" s="94" t="e">
        <f>#REF!&amp;"-"&amp;#REF!</f>
        <v>#REF!</v>
      </c>
      <c r="K10" s="94" t="e">
        <f t="shared" ref="K10" si="0">#REF!&amp;"-"&amp;#REF!</f>
        <v>#REF!</v>
      </c>
      <c r="L10" s="94" t="e">
        <f t="shared" ref="L10:M10" si="1">A3&amp;"-"&amp;#REF!</f>
        <v>#REF!</v>
      </c>
      <c r="M10" s="94" t="e">
        <f t="shared" si="1"/>
        <v>#REF!</v>
      </c>
      <c r="N10"/>
      <c r="O10" s="103"/>
      <c r="P10"/>
      <c r="Q10" s="92" t="s">
        <v>166</v>
      </c>
      <c r="R10" s="102" t="s">
        <v>169</v>
      </c>
      <c r="S10"/>
      <c r="T10"/>
      <c r="U10"/>
      <c r="V10" s="103"/>
    </row>
    <row r="11" spans="2:22">
      <c r="B11" s="22" t="s">
        <v>11</v>
      </c>
      <c r="C11" s="16">
        <v>0.06</v>
      </c>
      <c r="D11" s="16">
        <v>0.06</v>
      </c>
      <c r="E11" s="16">
        <v>0.06</v>
      </c>
      <c r="F11" s="16">
        <v>0.06</v>
      </c>
      <c r="G11" s="16">
        <v>0.06</v>
      </c>
      <c r="I11" s="108"/>
      <c r="J11" s="95" t="e">
        <f>#REF!</f>
        <v>#REF!</v>
      </c>
      <c r="K11" s="95" t="e">
        <f>#REF!</f>
        <v>#REF!</v>
      </c>
      <c r="L11" s="95">
        <f>A6</f>
        <v>0</v>
      </c>
      <c r="M11" s="95" t="str">
        <f>B6</f>
        <v>Revenue Growth %</v>
      </c>
      <c r="N11"/>
      <c r="O11" s="103"/>
      <c r="P11"/>
      <c r="Q11" s="108"/>
      <c r="R11" s="121" t="s">
        <v>170</v>
      </c>
      <c r="S11" s="121" t="s">
        <v>171</v>
      </c>
      <c r="T11" s="121" t="s">
        <v>172</v>
      </c>
      <c r="U11" s="122"/>
      <c r="V11" s="123"/>
    </row>
    <row r="12" spans="2:22">
      <c r="B12" s="22"/>
      <c r="I12" s="108"/>
      <c r="J12"/>
      <c r="K12" s="119" t="e">
        <f>K11-J11</f>
        <v>#REF!</v>
      </c>
      <c r="L12" s="119" t="e">
        <f>L11-K11</f>
        <v>#REF!</v>
      </c>
      <c r="M12" s="119" t="e">
        <f>M11-L11</f>
        <v>#VALUE!</v>
      </c>
      <c r="N12"/>
      <c r="O12" s="103"/>
      <c r="P12"/>
      <c r="Q12" s="108"/>
      <c r="R12" s="124" t="s">
        <v>173</v>
      </c>
      <c r="S12" s="124" t="s">
        <v>174</v>
      </c>
      <c r="T12" s="124" t="s">
        <v>175</v>
      </c>
      <c r="U12" s="32"/>
      <c r="V12" s="125"/>
    </row>
    <row r="13" spans="2:22">
      <c r="B13" s="23" t="s">
        <v>12</v>
      </c>
      <c r="C13" s="24"/>
      <c r="D13" s="24"/>
      <c r="E13" s="24"/>
      <c r="F13" s="24"/>
      <c r="G13" s="24"/>
      <c r="I13" s="113"/>
      <c r="J13" s="116"/>
      <c r="K13" s="116"/>
      <c r="L13" s="114" t="s">
        <v>176</v>
      </c>
      <c r="M13" s="116"/>
      <c r="N13" s="116"/>
      <c r="O13" s="118"/>
      <c r="P13"/>
      <c r="Q13" s="108"/>
      <c r="R13" s="124" t="s">
        <v>177</v>
      </c>
      <c r="S13" s="124" t="s">
        <v>178</v>
      </c>
      <c r="T13" s="124" t="s">
        <v>179</v>
      </c>
      <c r="U13" s="32"/>
      <c r="V13" s="125"/>
    </row>
    <row r="14" spans="2:22">
      <c r="B14" s="22" t="s">
        <v>13</v>
      </c>
      <c r="C14" s="16">
        <v>0.25</v>
      </c>
      <c r="D14" s="16">
        <v>0.25</v>
      </c>
      <c r="E14" s="16">
        <v>0.25</v>
      </c>
      <c r="F14" s="16">
        <v>0.25</v>
      </c>
      <c r="G14" s="16">
        <v>0.25</v>
      </c>
      <c r="I14" s="92" t="s">
        <v>180</v>
      </c>
      <c r="J14" s="102" t="s">
        <v>181</v>
      </c>
      <c r="K14"/>
      <c r="L14"/>
      <c r="M14"/>
      <c r="N14"/>
      <c r="O14" s="103"/>
      <c r="P14"/>
      <c r="Q14" s="108"/>
      <c r="R14" s="124" t="s">
        <v>182</v>
      </c>
      <c r="S14" s="124" t="s">
        <v>183</v>
      </c>
      <c r="T14" s="124" t="s">
        <v>184</v>
      </c>
      <c r="U14" s="32"/>
      <c r="V14" s="125"/>
    </row>
    <row r="15" spans="2:22" ht="16.2" thickBot="1">
      <c r="B15" s="22"/>
      <c r="I15" s="126"/>
      <c r="J15" s="127" t="s">
        <v>185</v>
      </c>
      <c r="K15" s="127"/>
      <c r="L15" s="127"/>
      <c r="M15" s="127"/>
      <c r="N15" s="127"/>
      <c r="O15" s="128"/>
      <c r="P15"/>
      <c r="Q15" s="108"/>
      <c r="R15" s="124" t="s">
        <v>186</v>
      </c>
      <c r="S15" s="124" t="s">
        <v>187</v>
      </c>
      <c r="T15" s="124" t="s">
        <v>188</v>
      </c>
      <c r="U15" s="32"/>
      <c r="V15" s="125"/>
    </row>
    <row r="16" spans="2:22">
      <c r="B16" s="23" t="s">
        <v>14</v>
      </c>
      <c r="C16" s="24"/>
      <c r="D16" s="24"/>
      <c r="E16" s="24"/>
      <c r="F16" s="24"/>
      <c r="G16" s="24"/>
      <c r="I16"/>
      <c r="J16"/>
      <c r="K16"/>
      <c r="L16"/>
      <c r="M16"/>
      <c r="N16"/>
      <c r="O16"/>
      <c r="P16"/>
      <c r="Q16" s="108"/>
      <c r="R16" s="124" t="s">
        <v>189</v>
      </c>
      <c r="S16" s="124" t="s">
        <v>190</v>
      </c>
      <c r="T16" s="124" t="s">
        <v>191</v>
      </c>
      <c r="U16" s="32"/>
      <c r="V16" s="125"/>
    </row>
    <row r="17" spans="2:22">
      <c r="B17" s="22" t="s">
        <v>15</v>
      </c>
      <c r="C17" s="17">
        <v>45</v>
      </c>
      <c r="D17" s="17">
        <v>44</v>
      </c>
      <c r="E17" s="17">
        <v>43</v>
      </c>
      <c r="F17" s="17">
        <v>42</v>
      </c>
      <c r="G17" s="17">
        <v>41</v>
      </c>
      <c r="I17"/>
      <c r="J17"/>
      <c r="K17"/>
      <c r="L17"/>
      <c r="M17"/>
      <c r="N17"/>
      <c r="O17"/>
      <c r="P17"/>
      <c r="Q17" s="108"/>
      <c r="R17" s="32"/>
      <c r="S17" s="32"/>
      <c r="T17" s="32"/>
      <c r="U17" s="32"/>
      <c r="V17" s="125"/>
    </row>
    <row r="18" spans="2:22">
      <c r="B18" s="22" t="s">
        <v>16</v>
      </c>
      <c r="C18" s="17">
        <v>60</v>
      </c>
      <c r="D18" s="17">
        <v>58</v>
      </c>
      <c r="E18" s="17">
        <v>56</v>
      </c>
      <c r="F18" s="17">
        <v>55</v>
      </c>
      <c r="G18" s="17">
        <v>54</v>
      </c>
      <c r="I18"/>
      <c r="J18"/>
      <c r="K18"/>
      <c r="L18"/>
      <c r="M18"/>
      <c r="N18"/>
      <c r="O18"/>
      <c r="P18"/>
      <c r="Q18" s="97" t="s">
        <v>180</v>
      </c>
      <c r="R18" s="105" t="s">
        <v>192</v>
      </c>
      <c r="S18" s="129"/>
      <c r="T18" s="129"/>
      <c r="U18" s="129"/>
      <c r="V18" s="130"/>
    </row>
    <row r="19" spans="2:22" ht="16.2" thickBot="1">
      <c r="B19" s="22" t="s">
        <v>17</v>
      </c>
      <c r="C19" s="17">
        <v>35</v>
      </c>
      <c r="D19" s="17">
        <v>36</v>
      </c>
      <c r="E19" s="17">
        <v>37</v>
      </c>
      <c r="F19" s="17">
        <v>38</v>
      </c>
      <c r="G19" s="17">
        <v>39</v>
      </c>
      <c r="I19"/>
      <c r="J19"/>
      <c r="K19"/>
      <c r="L19"/>
      <c r="M19"/>
      <c r="N19"/>
      <c r="O19"/>
      <c r="P19"/>
      <c r="Q19" s="126"/>
      <c r="R19" s="127" t="s">
        <v>193</v>
      </c>
      <c r="S19" s="131"/>
      <c r="T19" s="131"/>
      <c r="U19" s="131"/>
      <c r="V19" s="132"/>
    </row>
    <row r="20" spans="2:22">
      <c r="B20" s="22"/>
    </row>
    <row r="21" spans="2:22">
      <c r="B21" s="23" t="s">
        <v>18</v>
      </c>
      <c r="C21" s="24"/>
      <c r="D21" s="24"/>
      <c r="E21" s="24"/>
      <c r="F21" s="24"/>
      <c r="G21" s="24"/>
    </row>
    <row r="22" spans="2:22">
      <c r="B22" s="22" t="s">
        <v>19</v>
      </c>
      <c r="C22" s="16">
        <v>0.06</v>
      </c>
      <c r="D22" s="16">
        <v>5.5E-2</v>
      </c>
      <c r="E22" s="16">
        <v>0.05</v>
      </c>
      <c r="F22" s="16">
        <v>4.4999999999999998E-2</v>
      </c>
      <c r="G22" s="16">
        <v>4.4999999999999998E-2</v>
      </c>
    </row>
    <row r="23" spans="2:22">
      <c r="B23" s="22"/>
    </row>
    <row r="24" spans="2:22">
      <c r="B24" s="23" t="s">
        <v>20</v>
      </c>
      <c r="C24" s="24"/>
      <c r="D24" s="24"/>
      <c r="E24" s="24"/>
      <c r="F24" s="24"/>
      <c r="G24" s="24"/>
    </row>
    <row r="25" spans="2:22">
      <c r="B25" s="22" t="s">
        <v>21</v>
      </c>
      <c r="C25" s="16">
        <v>4.4999999999999998E-2</v>
      </c>
      <c r="D25" s="16">
        <v>4.4999999999999998E-2</v>
      </c>
      <c r="E25" s="16">
        <v>4.4999999999999998E-2</v>
      </c>
      <c r="F25" s="16">
        <v>4.4999999999999998E-2</v>
      </c>
      <c r="G25" s="16">
        <v>4.4999999999999998E-2</v>
      </c>
    </row>
    <row r="26" spans="2:22">
      <c r="B26" s="22" t="s">
        <v>22</v>
      </c>
      <c r="C26" s="16">
        <v>0.06</v>
      </c>
      <c r="D26" s="16">
        <v>0.06</v>
      </c>
      <c r="E26" s="16">
        <v>0.06</v>
      </c>
      <c r="F26" s="16">
        <v>0.06</v>
      </c>
      <c r="G26" s="16">
        <v>0.06</v>
      </c>
    </row>
    <row r="27" spans="2:22">
      <c r="B27" s="22" t="s">
        <v>23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</row>
    <row r="28" spans="2:22">
      <c r="B28" s="22" t="s">
        <v>24</v>
      </c>
      <c r="C28" s="16">
        <v>0.1</v>
      </c>
      <c r="D28" s="16">
        <v>0.1</v>
      </c>
      <c r="E28" s="16">
        <v>0.1</v>
      </c>
      <c r="F28" s="16">
        <v>0.1</v>
      </c>
      <c r="G28" s="16">
        <v>0.1</v>
      </c>
    </row>
    <row r="29" spans="2:22">
      <c r="B29" s="22"/>
    </row>
    <row r="30" spans="2:22">
      <c r="B30" s="23" t="s">
        <v>25</v>
      </c>
      <c r="C30" s="24"/>
      <c r="D30" s="24"/>
      <c r="E30" s="24"/>
      <c r="F30" s="24"/>
      <c r="G30" s="24"/>
    </row>
    <row r="31" spans="2:22">
      <c r="B31" s="22" t="s">
        <v>26</v>
      </c>
      <c r="C31" s="16">
        <v>0.2</v>
      </c>
      <c r="D31" s="16">
        <v>0.2</v>
      </c>
      <c r="E31" s="16">
        <v>0.2</v>
      </c>
      <c r="F31" s="16">
        <v>0.2</v>
      </c>
      <c r="G31" s="16">
        <v>0.2</v>
      </c>
    </row>
  </sheetData>
  <hyperlinks>
    <hyperlink ref="M6" r:id="rId1" xr:uid="{C27B04A3-89BD-4ECD-8BCD-7F10E36B09DE}"/>
    <hyperlink ref="M7" r:id="rId2" xr:uid="{70480700-3D3C-4DE9-AA7E-5B7AAAD944D2}"/>
    <hyperlink ref="M8" r:id="rId3" xr:uid="{CD15281C-D3ED-4E4E-A6AF-9D022DA5EF71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H25"/>
  <sheetViews>
    <sheetView showGridLines="0" zoomScale="85" zoomScaleNormal="85" workbookViewId="0">
      <pane ySplit="3" topLeftCell="A4" activePane="bottomLeft" state="frozen"/>
      <selection activeCell="G21" sqref="G21"/>
      <selection pane="bottomLeft" activeCell="J18" sqref="J18"/>
    </sheetView>
  </sheetViews>
  <sheetFormatPr defaultColWidth="8.6640625" defaultRowHeight="15.6"/>
  <cols>
    <col min="1" max="1" width="8.6640625" style="4"/>
    <col min="2" max="2" width="30" style="4" customWidth="1"/>
    <col min="3" max="8" width="16" style="11" customWidth="1"/>
    <col min="9" max="16384" width="8.6640625" style="4"/>
  </cols>
  <sheetData>
    <row r="1" spans="2:8" ht="20.399999999999999">
      <c r="B1" s="10" t="s">
        <v>142</v>
      </c>
      <c r="C1" s="14"/>
      <c r="D1" s="14"/>
      <c r="E1" s="14"/>
      <c r="F1" s="14"/>
      <c r="G1" s="14"/>
    </row>
    <row r="2" spans="2:8" customFormat="1">
      <c r="C2" s="14"/>
      <c r="D2" s="15"/>
      <c r="E2" s="15"/>
      <c r="F2" s="15"/>
      <c r="G2" s="15"/>
      <c r="H2" s="12"/>
    </row>
    <row r="3" spans="2:8">
      <c r="B3" s="20" t="s">
        <v>1</v>
      </c>
      <c r="C3" s="33" t="s">
        <v>27</v>
      </c>
      <c r="D3" s="34" t="s">
        <v>28</v>
      </c>
      <c r="E3" s="34" t="s">
        <v>29</v>
      </c>
      <c r="F3" s="34" t="s">
        <v>30</v>
      </c>
      <c r="G3" s="34" t="s">
        <v>31</v>
      </c>
      <c r="H3" s="34" t="s">
        <v>32</v>
      </c>
    </row>
    <row r="4" spans="2:8">
      <c r="C4" s="35"/>
      <c r="D4" s="36"/>
      <c r="E4" s="36"/>
      <c r="F4" s="36"/>
      <c r="G4" s="36"/>
      <c r="H4" s="36"/>
    </row>
    <row r="5" spans="2:8">
      <c r="B5" s="3" t="s">
        <v>33</v>
      </c>
      <c r="C5" s="35"/>
    </row>
    <row r="6" spans="2:8">
      <c r="B6" s="4" t="s">
        <v>34</v>
      </c>
      <c r="C6" s="43">
        <v>8000</v>
      </c>
      <c r="D6" s="11">
        <f>'Balance Sheet'!C30</f>
        <v>8000</v>
      </c>
      <c r="E6" s="11">
        <f>'Balance Sheet'!D30</f>
        <v>8000</v>
      </c>
      <c r="F6" s="11">
        <f>'Balance Sheet'!E30</f>
        <v>8000</v>
      </c>
      <c r="G6" s="11">
        <f>'Balance Sheet'!F30</f>
        <v>8000</v>
      </c>
      <c r="H6" s="11">
        <f>'Balance Sheet'!G30</f>
        <v>8000</v>
      </c>
    </row>
    <row r="7" spans="2:8">
      <c r="B7" s="4" t="s">
        <v>35</v>
      </c>
      <c r="C7" s="37">
        <f>Assumptions!C27</f>
        <v>0</v>
      </c>
      <c r="D7" s="38">
        <f>-'Cash Flow'!D19*Assumptions!D28</f>
        <v>0</v>
      </c>
      <c r="E7" s="38">
        <f>-'Cash Flow'!E19*Assumptions!E28</f>
        <v>0</v>
      </c>
      <c r="F7" s="38">
        <f>-'Cash Flow'!F19*Assumptions!F28</f>
        <v>0</v>
      </c>
      <c r="G7" s="38">
        <f>-'Cash Flow'!G19*Assumptions!G28</f>
        <v>0</v>
      </c>
      <c r="H7" s="38">
        <f>-'Cash Flow'!H19*Assumptions!H28</f>
        <v>0</v>
      </c>
    </row>
    <row r="8" spans="2:8" ht="16.2" thickBot="1">
      <c r="B8" s="4" t="s">
        <v>36</v>
      </c>
      <c r="C8" s="35">
        <v>0</v>
      </c>
      <c r="D8" s="11">
        <f>Assumptions!C28*'Cash Flow'!D12</f>
        <v>0</v>
      </c>
      <c r="E8" s="11">
        <f>Assumptions!D28*'Cash Flow'!E12</f>
        <v>0</v>
      </c>
      <c r="F8" s="11">
        <f>Assumptions!E28*'Cash Flow'!F12</f>
        <v>0</v>
      </c>
      <c r="G8" s="11">
        <f>Assumptions!F28*'Cash Flow'!G12</f>
        <v>0</v>
      </c>
      <c r="H8" s="11">
        <f>Assumptions!G28*'Cash Flow'!H12</f>
        <v>0</v>
      </c>
    </row>
    <row r="9" spans="2:8" ht="16.2" thickTop="1">
      <c r="B9" s="31" t="s">
        <v>37</v>
      </c>
      <c r="C9" s="39">
        <f>C6+C7-C8</f>
        <v>8000</v>
      </c>
      <c r="D9" s="45">
        <f>D6+D7-D8</f>
        <v>8000</v>
      </c>
      <c r="E9" s="45">
        <f t="shared" ref="E9:H9" si="0">E6+E7-E8</f>
        <v>8000</v>
      </c>
      <c r="F9" s="45">
        <f t="shared" si="0"/>
        <v>8000</v>
      </c>
      <c r="G9" s="45">
        <f t="shared" si="0"/>
        <v>8000</v>
      </c>
      <c r="H9" s="45">
        <f t="shared" si="0"/>
        <v>8000</v>
      </c>
    </row>
    <row r="10" spans="2:8">
      <c r="B10" s="4" t="s">
        <v>38</v>
      </c>
      <c r="C10" s="40">
        <f>(C6+C9)/2</f>
        <v>8000</v>
      </c>
      <c r="D10" s="11">
        <f>(D9+D6)/2</f>
        <v>8000</v>
      </c>
      <c r="E10" s="11">
        <f t="shared" ref="E10:H10" si="1">(E9+E6)/2</f>
        <v>8000</v>
      </c>
      <c r="F10" s="11">
        <f t="shared" si="1"/>
        <v>8000</v>
      </c>
      <c r="G10" s="11">
        <f t="shared" si="1"/>
        <v>8000</v>
      </c>
      <c r="H10" s="11">
        <f t="shared" si="1"/>
        <v>8000</v>
      </c>
    </row>
    <row r="11" spans="2:8">
      <c r="B11" s="4" t="s">
        <v>39</v>
      </c>
      <c r="C11" s="41">
        <v>4.4999999999999998E-2</v>
      </c>
      <c r="D11" s="42">
        <f>Assumptions!C25</f>
        <v>4.4999999999999998E-2</v>
      </c>
      <c r="E11" s="42">
        <f>Assumptions!D25</f>
        <v>4.4999999999999998E-2</v>
      </c>
      <c r="F11" s="42">
        <f>Assumptions!E25</f>
        <v>4.4999999999999998E-2</v>
      </c>
      <c r="G11" s="42">
        <f>Assumptions!F25</f>
        <v>4.4999999999999998E-2</v>
      </c>
      <c r="H11" s="42">
        <f>Assumptions!G25</f>
        <v>4.4999999999999998E-2</v>
      </c>
    </row>
    <row r="12" spans="2:8">
      <c r="B12" s="4" t="s">
        <v>40</v>
      </c>
      <c r="C12" s="40">
        <f>C10*C11</f>
        <v>360</v>
      </c>
      <c r="D12" s="11">
        <f>D10*D11</f>
        <v>360</v>
      </c>
      <c r="E12" s="11">
        <f t="shared" ref="E12:H12" si="2">E10*E11</f>
        <v>360</v>
      </c>
      <c r="F12" s="11">
        <f t="shared" si="2"/>
        <v>360</v>
      </c>
      <c r="G12" s="11">
        <f t="shared" si="2"/>
        <v>360</v>
      </c>
      <c r="H12" s="11">
        <f t="shared" si="2"/>
        <v>360</v>
      </c>
    </row>
    <row r="13" spans="2:8">
      <c r="C13" s="35"/>
    </row>
    <row r="14" spans="2:8">
      <c r="C14" s="35"/>
    </row>
    <row r="15" spans="2:8">
      <c r="B15" s="3" t="s">
        <v>41</v>
      </c>
      <c r="C15" s="35"/>
      <c r="D15" s="4"/>
      <c r="E15" s="4"/>
      <c r="F15" s="4"/>
      <c r="G15" s="4"/>
      <c r="H15" s="4"/>
    </row>
    <row r="16" spans="2:8">
      <c r="B16" s="4" t="s">
        <v>34</v>
      </c>
      <c r="C16" s="37">
        <v>35000</v>
      </c>
      <c r="D16" s="36">
        <f>C19</f>
        <v>35000</v>
      </c>
      <c r="E16" s="36">
        <f>D19</f>
        <v>35000</v>
      </c>
      <c r="F16" s="36">
        <f>E19</f>
        <v>35000</v>
      </c>
      <c r="G16" s="36">
        <f>F19</f>
        <v>35000</v>
      </c>
      <c r="H16" s="36">
        <f>G19</f>
        <v>35000</v>
      </c>
    </row>
    <row r="17" spans="2:8">
      <c r="B17" s="4" t="s">
        <v>35</v>
      </c>
      <c r="C17" s="4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</row>
    <row r="18" spans="2:8" ht="16.2" thickBot="1">
      <c r="B18" s="4" t="s">
        <v>36</v>
      </c>
      <c r="C18" s="35">
        <v>0</v>
      </c>
      <c r="D18" s="38">
        <f>Assumptions!C28*'Cash Flow'!D12</f>
        <v>0</v>
      </c>
      <c r="E18" s="38">
        <f>Assumptions!D28*'Cash Flow'!E12</f>
        <v>0</v>
      </c>
      <c r="F18" s="38">
        <f>Assumptions!E28*'Cash Flow'!F12</f>
        <v>0</v>
      </c>
      <c r="G18" s="38">
        <f>Assumptions!F28*'Cash Flow'!G12</f>
        <v>0</v>
      </c>
      <c r="H18" s="38">
        <f>Assumptions!G28*'Cash Flow'!H12</f>
        <v>0</v>
      </c>
    </row>
    <row r="19" spans="2:8" ht="16.2" thickTop="1">
      <c r="B19" s="31" t="s">
        <v>37</v>
      </c>
      <c r="C19" s="39">
        <f>C16+C17-C18</f>
        <v>35000</v>
      </c>
      <c r="D19" s="45">
        <f>D16+D17-D18</f>
        <v>35000</v>
      </c>
      <c r="E19" s="45">
        <f t="shared" ref="E19:H19" si="3">E16+E17-E18</f>
        <v>35000</v>
      </c>
      <c r="F19" s="45">
        <f t="shared" si="3"/>
        <v>35000</v>
      </c>
      <c r="G19" s="45">
        <f t="shared" si="3"/>
        <v>35000</v>
      </c>
      <c r="H19" s="45">
        <f t="shared" si="3"/>
        <v>35000</v>
      </c>
    </row>
    <row r="20" spans="2:8">
      <c r="B20" s="4" t="s">
        <v>38</v>
      </c>
      <c r="C20" s="40">
        <f>(C16+C19)/2</f>
        <v>35000</v>
      </c>
      <c r="D20" s="11">
        <f>(D16+D19)/2</f>
        <v>35000</v>
      </c>
      <c r="E20" s="11">
        <f t="shared" ref="E20:H20" si="4">(E16+E19)/2</f>
        <v>35000</v>
      </c>
      <c r="F20" s="11">
        <f t="shared" si="4"/>
        <v>35000</v>
      </c>
      <c r="G20" s="11">
        <f t="shared" si="4"/>
        <v>35000</v>
      </c>
      <c r="H20" s="11">
        <f t="shared" si="4"/>
        <v>35000</v>
      </c>
    </row>
    <row r="21" spans="2:8">
      <c r="B21" s="4" t="s">
        <v>39</v>
      </c>
      <c r="C21" s="41">
        <v>0.06</v>
      </c>
      <c r="D21" s="42">
        <f>Assumptions!C26</f>
        <v>0.06</v>
      </c>
      <c r="E21" s="42">
        <f>Assumptions!D26</f>
        <v>0.06</v>
      </c>
      <c r="F21" s="42">
        <f>Assumptions!E26</f>
        <v>0.06</v>
      </c>
      <c r="G21" s="42">
        <f>Assumptions!F26</f>
        <v>0.06</v>
      </c>
      <c r="H21" s="42">
        <f>Assumptions!G26</f>
        <v>0.06</v>
      </c>
    </row>
    <row r="22" spans="2:8">
      <c r="B22" s="4" t="s">
        <v>40</v>
      </c>
      <c r="C22" s="40">
        <f>C20*C21</f>
        <v>2100</v>
      </c>
      <c r="D22" s="11">
        <f>D20*D21</f>
        <v>2100</v>
      </c>
      <c r="E22" s="11">
        <f t="shared" ref="E22:H22" si="5">E20*E21</f>
        <v>2100</v>
      </c>
      <c r="F22" s="11">
        <f t="shared" si="5"/>
        <v>2100</v>
      </c>
      <c r="G22" s="11">
        <f t="shared" si="5"/>
        <v>2100</v>
      </c>
      <c r="H22" s="11">
        <f t="shared" si="5"/>
        <v>2100</v>
      </c>
    </row>
    <row r="23" spans="2:8">
      <c r="C23" s="35"/>
    </row>
    <row r="24" spans="2:8" ht="16.2" thickBot="1">
      <c r="C24" s="35"/>
    </row>
    <row r="25" spans="2:8" ht="16.2" thickBot="1">
      <c r="B25" s="48" t="s">
        <v>42</v>
      </c>
      <c r="C25" s="49">
        <f>C12+C22</f>
        <v>2460</v>
      </c>
      <c r="D25" s="50">
        <f>D12+D22</f>
        <v>2460</v>
      </c>
      <c r="E25" s="50">
        <f t="shared" ref="E25:H25" si="6">E12+E22</f>
        <v>2460</v>
      </c>
      <c r="F25" s="50">
        <f t="shared" si="6"/>
        <v>2460</v>
      </c>
      <c r="G25" s="50">
        <f t="shared" si="6"/>
        <v>2460</v>
      </c>
      <c r="H25" s="51">
        <f t="shared" si="6"/>
        <v>2460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7"/>
  <sheetViews>
    <sheetView showGridLines="0" zoomScaleNormal="100" workbookViewId="0">
      <selection activeCell="C13" sqref="C13"/>
    </sheetView>
  </sheetViews>
  <sheetFormatPr defaultColWidth="8.6640625" defaultRowHeight="15.6"/>
  <cols>
    <col min="1" max="1" width="8.6640625" style="4"/>
    <col min="2" max="2" width="30" style="4" customWidth="1"/>
    <col min="3" max="8" width="16" style="4" customWidth="1"/>
    <col min="9" max="16384" width="8.6640625" style="4"/>
  </cols>
  <sheetData>
    <row r="1" spans="1:8" ht="20.399999999999999">
      <c r="B1" s="10" t="s">
        <v>137</v>
      </c>
      <c r="C1" s="14"/>
      <c r="D1" s="14"/>
      <c r="E1" s="14"/>
      <c r="F1" s="14"/>
      <c r="G1" s="14"/>
    </row>
    <row r="2" spans="1:8" customFormat="1">
      <c r="C2" s="14"/>
      <c r="D2" s="15"/>
      <c r="E2" s="15"/>
      <c r="F2" s="15"/>
      <c r="G2" s="15"/>
    </row>
    <row r="3" spans="1:8">
      <c r="B3" s="20" t="s">
        <v>1</v>
      </c>
      <c r="C3" s="25" t="s">
        <v>27</v>
      </c>
      <c r="D3" s="20" t="s">
        <v>28</v>
      </c>
      <c r="E3" s="20" t="s">
        <v>29</v>
      </c>
      <c r="F3" s="20" t="s">
        <v>30</v>
      </c>
      <c r="G3" s="20" t="s">
        <v>31</v>
      </c>
      <c r="H3" s="20" t="s">
        <v>32</v>
      </c>
    </row>
    <row r="4" spans="1:8">
      <c r="C4" s="26"/>
    </row>
    <row r="5" spans="1:8">
      <c r="B5" s="3" t="s">
        <v>43</v>
      </c>
      <c r="C5" s="26"/>
    </row>
    <row r="6" spans="1:8">
      <c r="B6" s="4" t="s">
        <v>34</v>
      </c>
      <c r="C6" s="28">
        <v>80000</v>
      </c>
      <c r="D6" s="4">
        <f>'Balance Sheet'!C15</f>
        <v>80000</v>
      </c>
      <c r="E6" s="6">
        <f>D9</f>
        <v>74060</v>
      </c>
      <c r="F6" s="6">
        <f>E9</f>
        <v>68120</v>
      </c>
      <c r="G6" s="6">
        <f>F9</f>
        <v>62292.86</v>
      </c>
      <c r="H6" s="6">
        <f>G9</f>
        <v>56028.684500000003</v>
      </c>
    </row>
    <row r="7" spans="1:8">
      <c r="A7" s="62" t="s">
        <v>145</v>
      </c>
      <c r="B7" s="4" t="s">
        <v>44</v>
      </c>
      <c r="C7" s="26"/>
      <c r="D7" s="8">
        <f>-'Income Statement'!D5*Assumptions!D22</f>
        <v>-5940</v>
      </c>
      <c r="E7" s="8">
        <f>-'Income Statement'!E5*Assumptions!E22</f>
        <v>-5940.0000000000009</v>
      </c>
      <c r="F7" s="8">
        <f>-'Income Statement'!F5*Assumptions!F22</f>
        <v>-5827.1400000000012</v>
      </c>
      <c r="G7" s="8">
        <f>-'Income Statement'!G5*Assumptions!G22</f>
        <v>-6264.1755000000012</v>
      </c>
      <c r="H7" s="8">
        <f>-'Income Statement'!H5*Assumptions!H22</f>
        <v>0</v>
      </c>
    </row>
    <row r="8" spans="1:8" ht="16.2" thickBot="1">
      <c r="A8" s="62" t="s">
        <v>146</v>
      </c>
      <c r="B8" s="4" t="s">
        <v>45</v>
      </c>
      <c r="C8" s="28">
        <v>0</v>
      </c>
      <c r="D8" s="5">
        <v>0</v>
      </c>
      <c r="E8" s="5">
        <v>0</v>
      </c>
      <c r="F8" s="5">
        <v>0</v>
      </c>
      <c r="G8" s="5">
        <v>0</v>
      </c>
    </row>
    <row r="9" spans="1:8" ht="16.2" thickBot="1">
      <c r="B9" s="47" t="s">
        <v>37</v>
      </c>
      <c r="C9" s="73">
        <f>C6+C7-C8</f>
        <v>80000</v>
      </c>
      <c r="D9" s="74">
        <f>D6+D7-D8</f>
        <v>74060</v>
      </c>
      <c r="E9" s="74">
        <f t="shared" ref="E9:H9" si="0">E6+E7-E8</f>
        <v>68120</v>
      </c>
      <c r="F9" s="74">
        <f t="shared" si="0"/>
        <v>62292.86</v>
      </c>
      <c r="G9" s="74">
        <f t="shared" si="0"/>
        <v>56028.684500000003</v>
      </c>
      <c r="H9" s="75">
        <f t="shared" si="0"/>
        <v>56028.684500000003</v>
      </c>
    </row>
    <row r="10" spans="1:8">
      <c r="C10" s="26"/>
    </row>
    <row r="11" spans="1:8">
      <c r="C11" s="26"/>
    </row>
    <row r="12" spans="1:8">
      <c r="B12" s="3" t="s">
        <v>46</v>
      </c>
      <c r="C12" s="26"/>
    </row>
    <row r="13" spans="1:8">
      <c r="B13" s="4" t="s">
        <v>34</v>
      </c>
      <c r="C13" s="28">
        <v>32000</v>
      </c>
      <c r="D13" s="63">
        <f>'Balance Sheet'!C16</f>
        <v>32000</v>
      </c>
      <c r="E13" s="63">
        <f>'Balance Sheet'!D16</f>
        <v>36800</v>
      </c>
      <c r="F13" s="63">
        <f>'Balance Sheet'!E16</f>
        <v>41243.599999999999</v>
      </c>
      <c r="G13" s="63">
        <f>'Balance Sheet'!F16</f>
        <v>45330.799999999996</v>
      </c>
      <c r="H13" s="63">
        <f>'Balance Sheet'!G16</f>
        <v>49068.371599999999</v>
      </c>
    </row>
    <row r="14" spans="1:8" ht="16.2" thickBot="1">
      <c r="B14" s="4" t="s">
        <v>47</v>
      </c>
      <c r="C14" s="26"/>
      <c r="D14" s="63">
        <f>D6*Assumptions!C11</f>
        <v>4800</v>
      </c>
      <c r="E14" s="63">
        <f>E6*Assumptions!D11</f>
        <v>4443.5999999999995</v>
      </c>
      <c r="F14" s="63">
        <f>F6*Assumptions!E11</f>
        <v>4087.2</v>
      </c>
      <c r="G14" s="63">
        <f>G6*Assumptions!F11</f>
        <v>3737.5715999999998</v>
      </c>
      <c r="H14" s="63">
        <f>H6*Assumptions!G11</f>
        <v>3361.7210700000001</v>
      </c>
    </row>
    <row r="15" spans="1:8" ht="16.2" thickBot="1">
      <c r="B15" s="47" t="s">
        <v>37</v>
      </c>
      <c r="C15" s="73">
        <f>C13-C14</f>
        <v>32000</v>
      </c>
      <c r="D15" s="74">
        <f>D13+D14</f>
        <v>36800</v>
      </c>
      <c r="E15" s="74">
        <f t="shared" ref="E15:H15" si="1">E13+E14</f>
        <v>41243.599999999999</v>
      </c>
      <c r="F15" s="74">
        <f t="shared" si="1"/>
        <v>45330.799999999996</v>
      </c>
      <c r="G15" s="74">
        <f t="shared" si="1"/>
        <v>49068.371599999999</v>
      </c>
      <c r="H15" s="75">
        <f t="shared" si="1"/>
        <v>52430.092669999998</v>
      </c>
    </row>
    <row r="16" spans="1:8" ht="16.2" thickBot="1">
      <c r="C16" s="26"/>
    </row>
    <row r="17" spans="2:8" ht="16.2" thickBot="1">
      <c r="B17" s="47" t="s">
        <v>148</v>
      </c>
      <c r="C17" s="73">
        <f>C9-C15</f>
        <v>48000</v>
      </c>
      <c r="D17" s="74">
        <f>D9-D15</f>
        <v>37260</v>
      </c>
      <c r="E17" s="74">
        <f t="shared" ref="E17:H17" si="2">E9-E15</f>
        <v>26876.400000000001</v>
      </c>
      <c r="F17" s="74">
        <f t="shared" si="2"/>
        <v>16962.060000000005</v>
      </c>
      <c r="G17" s="74">
        <f t="shared" si="2"/>
        <v>6960.3129000000044</v>
      </c>
      <c r="H17" s="74">
        <f t="shared" si="2"/>
        <v>3598.5918300000048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1:I28"/>
  <sheetViews>
    <sheetView showGridLines="0" topLeftCell="A13" zoomScaleNormal="100" workbookViewId="0">
      <selection activeCell="H35" sqref="H35"/>
    </sheetView>
  </sheetViews>
  <sheetFormatPr defaultColWidth="8.6640625" defaultRowHeight="15.6"/>
  <cols>
    <col min="1" max="1" width="8.6640625" style="4"/>
    <col min="2" max="2" width="35" style="4" customWidth="1"/>
    <col min="3" max="8" width="16" style="4" customWidth="1"/>
    <col min="9" max="16384" width="8.6640625" style="4"/>
  </cols>
  <sheetData>
    <row r="1" spans="2:9" ht="20.399999999999999">
      <c r="B1" s="10" t="s">
        <v>138</v>
      </c>
      <c r="C1" s="14"/>
      <c r="D1" s="14"/>
      <c r="E1" s="14"/>
      <c r="F1" s="14"/>
      <c r="G1" s="14"/>
    </row>
    <row r="2" spans="2:9" customFormat="1">
      <c r="C2" s="14"/>
      <c r="D2" s="15"/>
      <c r="E2" s="15"/>
      <c r="F2" s="15"/>
      <c r="G2" s="15"/>
    </row>
    <row r="3" spans="2:9">
      <c r="B3" s="20" t="s">
        <v>1</v>
      </c>
      <c r="C3" s="25" t="s">
        <v>27</v>
      </c>
      <c r="D3" s="20" t="s">
        <v>28</v>
      </c>
      <c r="E3" s="20" t="s">
        <v>29</v>
      </c>
      <c r="F3" s="20" t="s">
        <v>30</v>
      </c>
      <c r="G3" s="20" t="s">
        <v>31</v>
      </c>
      <c r="H3" s="20" t="s">
        <v>32</v>
      </c>
    </row>
    <row r="4" spans="2:9">
      <c r="C4" s="26"/>
    </row>
    <row r="5" spans="2:9">
      <c r="B5" s="4" t="s">
        <v>48</v>
      </c>
      <c r="C5" s="26"/>
      <c r="D5" s="155">
        <f>'Income Statement'!D5</f>
        <v>108000</v>
      </c>
      <c r="E5" s="155">
        <f>'Income Statement'!E5</f>
        <v>118800.00000000001</v>
      </c>
      <c r="F5" s="155">
        <f>'Income Statement'!F5</f>
        <v>129492.00000000003</v>
      </c>
      <c r="G5" s="155">
        <f>'Income Statement'!G5</f>
        <v>139203.90000000002</v>
      </c>
      <c r="H5" s="155">
        <f>'Income Statement'!H5</f>
        <v>148252.15350000001</v>
      </c>
    </row>
    <row r="6" spans="2:9">
      <c r="B6" s="4" t="s">
        <v>49</v>
      </c>
      <c r="C6" s="26"/>
      <c r="D6" s="155">
        <f>'Income Statement'!D8</f>
        <v>59400.000000000007</v>
      </c>
      <c r="E6" s="155">
        <f>'Income Statement'!E8</f>
        <v>64746.000000000015</v>
      </c>
      <c r="F6" s="155">
        <f>'Income Statement'!F8</f>
        <v>69925.680000000022</v>
      </c>
      <c r="G6" s="155">
        <f>'Income Statement'!G8</f>
        <v>74474.086500000019</v>
      </c>
      <c r="H6" s="155">
        <f>'Income Statement'!H8</f>
        <v>78573.641355000014</v>
      </c>
    </row>
    <row r="7" spans="2:9">
      <c r="C7" s="26"/>
    </row>
    <row r="8" spans="2:9">
      <c r="C8" s="26"/>
    </row>
    <row r="9" spans="2:9">
      <c r="B9" s="3" t="s">
        <v>50</v>
      </c>
      <c r="C9" s="26"/>
    </row>
    <row r="10" spans="2:9">
      <c r="B10" s="4" t="s">
        <v>15</v>
      </c>
      <c r="C10" s="30"/>
      <c r="D10" s="156">
        <f>Assumptions!C17</f>
        <v>45</v>
      </c>
      <c r="E10" s="156">
        <f>Assumptions!D17</f>
        <v>44</v>
      </c>
      <c r="F10" s="156">
        <f>Assumptions!E17</f>
        <v>43</v>
      </c>
      <c r="G10" s="156">
        <f>Assumptions!F17</f>
        <v>42</v>
      </c>
      <c r="H10" s="156">
        <f>Assumptions!G17</f>
        <v>41</v>
      </c>
    </row>
    <row r="11" spans="2:9">
      <c r="B11" s="4" t="s">
        <v>51</v>
      </c>
      <c r="C11" s="27"/>
      <c r="D11" s="63">
        <f>(D5/365)*D10</f>
        <v>13315.068493150686</v>
      </c>
      <c r="E11" s="63">
        <f>(E5/365)*E10</f>
        <v>14321.095890410959</v>
      </c>
      <c r="F11" s="63">
        <f>(F5/365)*F10</f>
        <v>15255.221917808221</v>
      </c>
      <c r="G11" s="63">
        <f>(G5/365)*G10</f>
        <v>16017.983013698633</v>
      </c>
      <c r="H11" s="63">
        <f>(H5/365)*H10</f>
        <v>16652.981626027398</v>
      </c>
    </row>
    <row r="12" spans="2:9">
      <c r="C12" s="26"/>
    </row>
    <row r="13" spans="2:9">
      <c r="B13" s="3" t="s">
        <v>52</v>
      </c>
      <c r="C13" s="26"/>
    </row>
    <row r="14" spans="2:9">
      <c r="B14" s="4" t="s">
        <v>16</v>
      </c>
      <c r="C14" s="30"/>
      <c r="D14" s="156">
        <f>Assumptions!C18</f>
        <v>60</v>
      </c>
      <c r="E14" s="156">
        <f>Assumptions!D18</f>
        <v>58</v>
      </c>
      <c r="F14" s="156">
        <f>Assumptions!E18</f>
        <v>56</v>
      </c>
      <c r="G14" s="156">
        <f>Assumptions!F18</f>
        <v>55</v>
      </c>
      <c r="H14" s="156">
        <f>Assumptions!G18</f>
        <v>54</v>
      </c>
      <c r="I14" s="63"/>
    </row>
    <row r="15" spans="2:9">
      <c r="B15" s="4" t="s">
        <v>53</v>
      </c>
      <c r="C15" s="27"/>
      <c r="D15" s="63">
        <f>(D14/365)*D6</f>
        <v>9764.3835616438355</v>
      </c>
      <c r="E15" s="63">
        <f>(E14/365)*E6</f>
        <v>10288.405479452058</v>
      </c>
      <c r="F15" s="63">
        <f>(F14/365)*F6</f>
        <v>10728.32350684932</v>
      </c>
      <c r="G15" s="63">
        <f>(G14/365)*G6</f>
        <v>11222.122623287674</v>
      </c>
      <c r="H15" s="63">
        <f>(H14/365)*H6</f>
        <v>11624.593515534249</v>
      </c>
    </row>
    <row r="16" spans="2:9">
      <c r="C16" s="26"/>
    </row>
    <row r="17" spans="2:8">
      <c r="B17" s="3" t="s">
        <v>54</v>
      </c>
      <c r="C17" s="26"/>
      <c r="D17" s="6"/>
      <c r="E17" s="6"/>
      <c r="F17" s="6"/>
      <c r="G17" s="6"/>
      <c r="H17" s="6"/>
    </row>
    <row r="18" spans="2:8">
      <c r="B18" s="4" t="s">
        <v>17</v>
      </c>
      <c r="C18" s="30"/>
      <c r="D18" s="156">
        <f>Assumptions!C19</f>
        <v>35</v>
      </c>
      <c r="E18" s="156">
        <f>Assumptions!D19</f>
        <v>36</v>
      </c>
      <c r="F18" s="156">
        <f>Assumptions!E19</f>
        <v>37</v>
      </c>
      <c r="G18" s="156">
        <f>Assumptions!F19</f>
        <v>38</v>
      </c>
      <c r="H18" s="156">
        <f>Assumptions!G19</f>
        <v>39</v>
      </c>
    </row>
    <row r="19" spans="2:8">
      <c r="B19" s="4" t="s">
        <v>55</v>
      </c>
      <c r="C19" s="27"/>
      <c r="D19" s="63">
        <f>(D18/365)*D6</f>
        <v>5695.8904109589048</v>
      </c>
      <c r="E19" s="63">
        <f>(E18/365)*E6</f>
        <v>6385.9068493150698</v>
      </c>
      <c r="F19" s="63">
        <f>(F18/365)*F6</f>
        <v>7088.3566027397283</v>
      </c>
      <c r="G19" s="63">
        <f>(G18/365)*G6</f>
        <v>7753.4665397260296</v>
      </c>
      <c r="H19" s="63">
        <f>(H18/365)*H6</f>
        <v>8395.5397612191791</v>
      </c>
    </row>
    <row r="20" spans="2:8">
      <c r="C20" s="26"/>
    </row>
    <row r="21" spans="2:8">
      <c r="C21" s="26"/>
    </row>
    <row r="22" spans="2:8">
      <c r="B22" s="3" t="s">
        <v>56</v>
      </c>
      <c r="C22" s="26"/>
    </row>
    <row r="23" spans="2:8">
      <c r="B23" s="4" t="s">
        <v>51</v>
      </c>
      <c r="C23" s="29"/>
      <c r="D23" s="6">
        <f>D11</f>
        <v>13315.068493150686</v>
      </c>
      <c r="E23" s="6">
        <f>E11</f>
        <v>14321.095890410959</v>
      </c>
      <c r="F23" s="6">
        <f>F11</f>
        <v>15255.221917808221</v>
      </c>
      <c r="G23" s="6">
        <f>G11</f>
        <v>16017.983013698633</v>
      </c>
      <c r="H23" s="6">
        <f>H11</f>
        <v>16652.981626027398</v>
      </c>
    </row>
    <row r="24" spans="2:8">
      <c r="B24" s="4" t="s">
        <v>53</v>
      </c>
      <c r="C24" s="29"/>
      <c r="D24" s="6">
        <f>D15</f>
        <v>9764.3835616438355</v>
      </c>
      <c r="E24" s="6">
        <f>E15</f>
        <v>10288.405479452058</v>
      </c>
      <c r="F24" s="6">
        <f>F15</f>
        <v>10728.32350684932</v>
      </c>
      <c r="G24" s="6">
        <f>G15</f>
        <v>11222.122623287674</v>
      </c>
      <c r="H24" s="6">
        <f>H15</f>
        <v>11624.593515534249</v>
      </c>
    </row>
    <row r="25" spans="2:8" ht="16.2" thickBot="1">
      <c r="B25" s="4" t="s">
        <v>55</v>
      </c>
      <c r="C25" s="29"/>
      <c r="D25" s="6">
        <f>D19</f>
        <v>5695.8904109589048</v>
      </c>
      <c r="E25" s="6">
        <f t="shared" ref="E25:H25" si="0">E19</f>
        <v>6385.9068493150698</v>
      </c>
      <c r="F25" s="6">
        <f t="shared" si="0"/>
        <v>7088.3566027397283</v>
      </c>
      <c r="G25" s="6">
        <f t="shared" si="0"/>
        <v>7753.4665397260296</v>
      </c>
      <c r="H25" s="6">
        <f t="shared" si="0"/>
        <v>8395.5397612191791</v>
      </c>
    </row>
    <row r="26" spans="2:8" ht="16.2" thickBot="1">
      <c r="B26" s="69" t="s">
        <v>57</v>
      </c>
      <c r="C26" s="153">
        <v>20000</v>
      </c>
      <c r="D26" s="89">
        <f>D23+D24-D25</f>
        <v>17383.561643835616</v>
      </c>
      <c r="E26" s="89">
        <f t="shared" ref="E26:H26" si="1">E23+E24-E25</f>
        <v>18223.594520547947</v>
      </c>
      <c r="F26" s="89">
        <f t="shared" si="1"/>
        <v>18895.188821917811</v>
      </c>
      <c r="G26" s="89">
        <f t="shared" si="1"/>
        <v>19486.639097260279</v>
      </c>
      <c r="H26" s="154">
        <f t="shared" si="1"/>
        <v>19882.035380342466</v>
      </c>
    </row>
    <row r="27" spans="2:8" ht="16.2" thickBot="1">
      <c r="C27" s="26"/>
    </row>
    <row r="28" spans="2:8" ht="16.2" thickBot="1">
      <c r="B28" s="69" t="s">
        <v>58</v>
      </c>
      <c r="C28" s="152"/>
      <c r="D28" s="74">
        <f>D26-C26</f>
        <v>-2616.4383561643845</v>
      </c>
      <c r="E28" s="74">
        <f t="shared" ref="E28:H28" si="2">E26-D26</f>
        <v>840.03287671233193</v>
      </c>
      <c r="F28" s="74">
        <f t="shared" si="2"/>
        <v>671.59430136986339</v>
      </c>
      <c r="G28" s="74">
        <f t="shared" si="2"/>
        <v>591.45027534246765</v>
      </c>
      <c r="H28" s="75">
        <f t="shared" si="2"/>
        <v>395.39628308218744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I36"/>
  <sheetViews>
    <sheetView showGridLines="0" zoomScaleNormal="100" workbookViewId="0">
      <selection activeCell="C5" sqref="C5"/>
    </sheetView>
  </sheetViews>
  <sheetFormatPr defaultColWidth="8.6640625" defaultRowHeight="15.6"/>
  <cols>
    <col min="1" max="1" width="8.6640625" style="4"/>
    <col min="2" max="2" width="35" style="4" customWidth="1"/>
    <col min="3" max="3" width="16.5546875" style="11" customWidth="1"/>
    <col min="4" max="8" width="16" style="11" customWidth="1"/>
    <col min="9" max="9" width="9.88671875" style="11" bestFit="1" customWidth="1"/>
    <col min="10" max="16384" width="8.6640625" style="4"/>
  </cols>
  <sheetData>
    <row r="1" spans="2:9" ht="20.399999999999999">
      <c r="B1" s="10" t="s">
        <v>139</v>
      </c>
      <c r="C1" s="52"/>
      <c r="D1" s="53" t="s">
        <v>59</v>
      </c>
      <c r="E1" s="14"/>
      <c r="F1" s="14"/>
      <c r="G1" s="14"/>
      <c r="H1" s="14"/>
    </row>
    <row r="2" spans="2:9" customFormat="1">
      <c r="C2" s="12"/>
      <c r="D2" s="14"/>
      <c r="E2" s="15"/>
      <c r="F2" s="15"/>
      <c r="G2" s="15"/>
      <c r="H2" s="15"/>
      <c r="I2" s="12"/>
    </row>
    <row r="3" spans="2:9">
      <c r="B3" s="20" t="s">
        <v>1</v>
      </c>
      <c r="C3" s="33" t="s">
        <v>27</v>
      </c>
      <c r="D3" s="34" t="s">
        <v>28</v>
      </c>
      <c r="E3" s="34" t="s">
        <v>29</v>
      </c>
      <c r="F3" s="34" t="s">
        <v>30</v>
      </c>
      <c r="G3" s="34" t="s">
        <v>31</v>
      </c>
      <c r="H3" s="34" t="s">
        <v>32</v>
      </c>
    </row>
    <row r="4" spans="2:9">
      <c r="C4" s="35"/>
    </row>
    <row r="5" spans="2:9">
      <c r="B5" s="1" t="s">
        <v>48</v>
      </c>
      <c r="C5" s="43">
        <v>100000</v>
      </c>
      <c r="D5" s="38">
        <f>C5*(1+Assumptions!C6)</f>
        <v>108000</v>
      </c>
      <c r="E5" s="38">
        <f>D5*(1+Assumptions!D6)</f>
        <v>118800.00000000001</v>
      </c>
      <c r="F5" s="38">
        <f>E5*(1+Assumptions!E6)</f>
        <v>129492.00000000003</v>
      </c>
      <c r="G5" s="38">
        <f>F5*(1+Assumptions!F6)</f>
        <v>139203.90000000002</v>
      </c>
      <c r="H5" s="38">
        <f>G5*(1+Assumptions!G6)</f>
        <v>148252.15350000001</v>
      </c>
    </row>
    <row r="6" spans="2:9">
      <c r="B6" s="58" t="s">
        <v>143</v>
      </c>
      <c r="C6" s="59"/>
      <c r="D6" s="60">
        <f>D5/C5-1</f>
        <v>8.0000000000000071E-2</v>
      </c>
      <c r="E6" s="60">
        <f t="shared" ref="E6:H6" si="0">E5/D5-1</f>
        <v>0.10000000000000009</v>
      </c>
      <c r="F6" s="60">
        <f t="shared" si="0"/>
        <v>9.000000000000008E-2</v>
      </c>
      <c r="G6" s="60">
        <f t="shared" si="0"/>
        <v>7.4999999999999956E-2</v>
      </c>
      <c r="H6" s="60">
        <f t="shared" si="0"/>
        <v>6.4999999999999947E-2</v>
      </c>
    </row>
    <row r="7" spans="2:9">
      <c r="C7" s="35"/>
    </row>
    <row r="8" spans="2:9">
      <c r="B8" s="4" t="s">
        <v>60</v>
      </c>
      <c r="C8" s="43">
        <v>55000</v>
      </c>
      <c r="D8" s="38">
        <f>D5*D9</f>
        <v>59400.000000000007</v>
      </c>
      <c r="E8" s="38">
        <f t="shared" ref="E8:H8" si="1">E5*E9</f>
        <v>64746.000000000015</v>
      </c>
      <c r="F8" s="38">
        <f t="shared" si="1"/>
        <v>69925.680000000022</v>
      </c>
      <c r="G8" s="38">
        <f t="shared" si="1"/>
        <v>74474.086500000019</v>
      </c>
      <c r="H8" s="38">
        <f t="shared" si="1"/>
        <v>78573.641355000014</v>
      </c>
      <c r="I8" s="38">
        <f>H5*Assumptions!H9</f>
        <v>0</v>
      </c>
    </row>
    <row r="9" spans="2:9">
      <c r="B9" s="58" t="s">
        <v>144</v>
      </c>
      <c r="C9" s="35"/>
      <c r="D9" s="57">
        <f>Assumptions!C9</f>
        <v>0.55000000000000004</v>
      </c>
      <c r="E9" s="57">
        <f>Assumptions!D9</f>
        <v>0.54500000000000004</v>
      </c>
      <c r="F9" s="57">
        <f>Assumptions!E9</f>
        <v>0.54</v>
      </c>
      <c r="G9" s="57">
        <f>Assumptions!F9</f>
        <v>0.53500000000000003</v>
      </c>
      <c r="H9" s="57">
        <f>Assumptions!G9</f>
        <v>0.53</v>
      </c>
      <c r="I9" s="38"/>
    </row>
    <row r="10" spans="2:9">
      <c r="C10" s="35"/>
      <c r="E10" s="38"/>
      <c r="F10" s="38"/>
      <c r="G10" s="38"/>
      <c r="H10" s="38"/>
      <c r="I10" s="38"/>
    </row>
    <row r="11" spans="2:9">
      <c r="B11" s="1" t="s">
        <v>61</v>
      </c>
      <c r="C11" s="44">
        <f>C5-C8</f>
        <v>45000</v>
      </c>
      <c r="D11" s="61">
        <f>D5-D8</f>
        <v>48599.999999999993</v>
      </c>
      <c r="E11" s="61">
        <f t="shared" ref="E11:H11" si="2">E5-E8</f>
        <v>54054</v>
      </c>
      <c r="F11" s="61">
        <f t="shared" si="2"/>
        <v>59566.320000000007</v>
      </c>
      <c r="G11" s="61">
        <f t="shared" si="2"/>
        <v>64729.813500000004</v>
      </c>
      <c r="H11" s="61">
        <f t="shared" si="2"/>
        <v>69678.512145000001</v>
      </c>
    </row>
    <row r="12" spans="2:9">
      <c r="B12" s="4" t="s">
        <v>62</v>
      </c>
      <c r="C12" s="35"/>
      <c r="D12" s="55">
        <f>D11/D5</f>
        <v>0.44999999999999996</v>
      </c>
      <c r="E12" s="55">
        <f t="shared" ref="E12:H12" si="3">E11/E5</f>
        <v>0.45499999999999996</v>
      </c>
      <c r="F12" s="55">
        <f t="shared" si="3"/>
        <v>0.45999999999999996</v>
      </c>
      <c r="G12" s="55">
        <f t="shared" si="3"/>
        <v>0.46499999999999997</v>
      </c>
      <c r="H12" s="55">
        <f t="shared" si="3"/>
        <v>0.47</v>
      </c>
    </row>
    <row r="13" spans="2:9">
      <c r="C13" s="35"/>
    </row>
    <row r="14" spans="2:9">
      <c r="B14" s="4" t="s">
        <v>63</v>
      </c>
      <c r="C14" s="43">
        <v>25000</v>
      </c>
      <c r="D14" s="65">
        <f>D5*D15</f>
        <v>27000</v>
      </c>
      <c r="E14" s="65">
        <f t="shared" ref="E14:H14" si="4">E5*E15</f>
        <v>29106.000000000004</v>
      </c>
      <c r="F14" s="65">
        <f t="shared" si="4"/>
        <v>31078.080000000005</v>
      </c>
      <c r="G14" s="65">
        <f t="shared" si="4"/>
        <v>32712.916500000003</v>
      </c>
      <c r="H14" s="65">
        <f t="shared" si="4"/>
        <v>34097.995305000004</v>
      </c>
    </row>
    <row r="15" spans="2:9">
      <c r="B15" s="58" t="s">
        <v>144</v>
      </c>
      <c r="C15" s="35"/>
      <c r="D15" s="57">
        <f>Assumptions!C10</f>
        <v>0.25</v>
      </c>
      <c r="E15" s="57">
        <f>Assumptions!D10</f>
        <v>0.245</v>
      </c>
      <c r="F15" s="57">
        <f>Assumptions!E10</f>
        <v>0.24</v>
      </c>
      <c r="G15" s="57">
        <f>Assumptions!F10</f>
        <v>0.23499999999999999</v>
      </c>
      <c r="H15" s="57">
        <f>Assumptions!G10</f>
        <v>0.23</v>
      </c>
    </row>
    <row r="16" spans="2:9">
      <c r="C16" s="35"/>
    </row>
    <row r="17" spans="2:9">
      <c r="B17" s="1" t="s">
        <v>65</v>
      </c>
      <c r="C17" s="56"/>
      <c r="D17" s="54">
        <f>D11-D14</f>
        <v>21599.999999999993</v>
      </c>
      <c r="E17" s="54">
        <f t="shared" ref="E17:H17" si="5">E11-E14</f>
        <v>24947.999999999996</v>
      </c>
      <c r="F17" s="54">
        <f t="shared" si="5"/>
        <v>28488.240000000002</v>
      </c>
      <c r="G17" s="54">
        <f t="shared" si="5"/>
        <v>32016.897000000001</v>
      </c>
      <c r="H17" s="54">
        <f t="shared" si="5"/>
        <v>35580.516839999997</v>
      </c>
      <c r="I17" s="38"/>
    </row>
    <row r="18" spans="2:9">
      <c r="B18" s="66" t="s">
        <v>64</v>
      </c>
      <c r="C18" s="35"/>
      <c r="D18" s="65">
        <f>'PPE Schedule'!D14</f>
        <v>4800</v>
      </c>
      <c r="E18" s="65">
        <f>'PPE Schedule'!E14</f>
        <v>4443.5999999999995</v>
      </c>
      <c r="F18" s="65">
        <f>'PPE Schedule'!F14</f>
        <v>4087.2</v>
      </c>
      <c r="G18" s="65">
        <f>'PPE Schedule'!G14</f>
        <v>3737.5715999999998</v>
      </c>
      <c r="H18" s="65">
        <f>'PPE Schedule'!H14</f>
        <v>3361.7210700000001</v>
      </c>
      <c r="I18" s="38"/>
    </row>
    <row r="19" spans="2:9">
      <c r="C19" s="35"/>
    </row>
    <row r="20" spans="2:9">
      <c r="B20" s="1" t="s">
        <v>66</v>
      </c>
      <c r="C20" s="56"/>
      <c r="D20" s="54">
        <f>D17-D18</f>
        <v>16799.999999999993</v>
      </c>
      <c r="E20" s="54">
        <f t="shared" ref="E20:H20" si="6">E17-E18</f>
        <v>20504.399999999998</v>
      </c>
      <c r="F20" s="54">
        <f t="shared" si="6"/>
        <v>24401.040000000001</v>
      </c>
      <c r="G20" s="54">
        <f t="shared" si="6"/>
        <v>28279.325400000002</v>
      </c>
      <c r="H20" s="54">
        <f t="shared" si="6"/>
        <v>32218.795769999997</v>
      </c>
    </row>
    <row r="21" spans="2:9">
      <c r="B21" s="4" t="s">
        <v>70</v>
      </c>
      <c r="C21" s="56"/>
      <c r="D21" s="60">
        <f>D20/D5</f>
        <v>0.15555555555555547</v>
      </c>
      <c r="E21" s="60">
        <f t="shared" ref="E21:H21" si="7">E20/E5</f>
        <v>0.17259595959595955</v>
      </c>
      <c r="F21" s="60">
        <f t="shared" si="7"/>
        <v>0.18843666017977942</v>
      </c>
      <c r="G21" s="60">
        <f t="shared" si="7"/>
        <v>0.2031503815625855</v>
      </c>
      <c r="H21" s="60">
        <f t="shared" si="7"/>
        <v>0.21732430193669999</v>
      </c>
    </row>
    <row r="22" spans="2:9">
      <c r="C22" s="35"/>
    </row>
    <row r="23" spans="2:9">
      <c r="B23" s="4" t="s">
        <v>40</v>
      </c>
      <c r="C23" s="35"/>
      <c r="D23" s="11">
        <f>'Debt Schedule'!D25</f>
        <v>2460</v>
      </c>
      <c r="E23" s="11">
        <f>'Debt Schedule'!E25</f>
        <v>2460</v>
      </c>
      <c r="F23" s="11">
        <f>'Debt Schedule'!F25</f>
        <v>2460</v>
      </c>
      <c r="G23" s="11">
        <f>'Debt Schedule'!G25</f>
        <v>2460</v>
      </c>
      <c r="H23" s="11">
        <f>'Debt Schedule'!H25</f>
        <v>2460</v>
      </c>
    </row>
    <row r="24" spans="2:9">
      <c r="C24" s="35"/>
    </row>
    <row r="25" spans="2:9">
      <c r="B25" s="1" t="s">
        <v>67</v>
      </c>
      <c r="C25" s="56"/>
      <c r="D25" s="54">
        <f>D20-D23</f>
        <v>14339.999999999993</v>
      </c>
      <c r="E25" s="54">
        <f t="shared" ref="E25:H25" si="8">E20-E23</f>
        <v>18044.399999999998</v>
      </c>
      <c r="F25" s="54">
        <f t="shared" si="8"/>
        <v>21941.040000000001</v>
      </c>
      <c r="G25" s="54">
        <f t="shared" si="8"/>
        <v>25819.325400000002</v>
      </c>
      <c r="H25" s="54">
        <f t="shared" si="8"/>
        <v>29758.795769999997</v>
      </c>
    </row>
    <row r="26" spans="2:9">
      <c r="C26" s="35"/>
      <c r="E26" s="38"/>
      <c r="F26" s="38"/>
      <c r="G26" s="38"/>
      <c r="H26" s="38"/>
      <c r="I26" s="38"/>
    </row>
    <row r="27" spans="2:9">
      <c r="B27" s="4" t="s">
        <v>68</v>
      </c>
      <c r="C27" s="35"/>
      <c r="D27" s="65">
        <f>D25*D28</f>
        <v>3584.9999999999982</v>
      </c>
      <c r="E27" s="65">
        <f t="shared" ref="E27:H27" si="9">E25*E28</f>
        <v>4511.0999999999995</v>
      </c>
      <c r="F27" s="65">
        <f t="shared" si="9"/>
        <v>5485.26</v>
      </c>
      <c r="G27" s="65">
        <f t="shared" si="9"/>
        <v>6454.8313500000004</v>
      </c>
      <c r="H27" s="65">
        <f t="shared" si="9"/>
        <v>7439.6989424999992</v>
      </c>
    </row>
    <row r="28" spans="2:9" s="58" customFormat="1">
      <c r="C28" s="59"/>
      <c r="D28" s="60">
        <f>Assumptions!C14</f>
        <v>0.25</v>
      </c>
      <c r="E28" s="60">
        <f>Assumptions!D14</f>
        <v>0.25</v>
      </c>
      <c r="F28" s="60">
        <f>Assumptions!E14</f>
        <v>0.25</v>
      </c>
      <c r="G28" s="60">
        <f>Assumptions!F14</f>
        <v>0.25</v>
      </c>
      <c r="H28" s="60">
        <f>Assumptions!G14</f>
        <v>0.25</v>
      </c>
      <c r="I28" s="68"/>
    </row>
    <row r="29" spans="2:9">
      <c r="C29" s="35"/>
    </row>
    <row r="30" spans="2:9">
      <c r="B30" s="76" t="s">
        <v>69</v>
      </c>
      <c r="C30" s="77"/>
      <c r="D30" s="54">
        <f>D25-D27</f>
        <v>10754.999999999995</v>
      </c>
      <c r="E30" s="54">
        <f t="shared" ref="E30:H30" si="10">E25-E27</f>
        <v>13533.3</v>
      </c>
      <c r="F30" s="54">
        <f t="shared" si="10"/>
        <v>16455.78</v>
      </c>
      <c r="G30" s="54">
        <f t="shared" si="10"/>
        <v>19364.494050000001</v>
      </c>
      <c r="H30" s="54">
        <f t="shared" si="10"/>
        <v>22319.096827499998</v>
      </c>
    </row>
    <row r="31" spans="2:9" s="58" customFormat="1">
      <c r="B31" s="58" t="s">
        <v>147</v>
      </c>
      <c r="C31" s="59"/>
      <c r="D31" s="60">
        <f>D30/D5</f>
        <v>9.9583333333333288E-2</v>
      </c>
      <c r="E31" s="60">
        <f t="shared" ref="E31:H31" si="11">E30/E5</f>
        <v>0.11391666666666665</v>
      </c>
      <c r="F31" s="60">
        <f t="shared" si="11"/>
        <v>0.12707951070336387</v>
      </c>
      <c r="G31" s="60">
        <f t="shared" si="11"/>
        <v>0.1391088471659199</v>
      </c>
      <c r="H31" s="60">
        <f t="shared" si="11"/>
        <v>0.15054821330133322</v>
      </c>
      <c r="I31" s="68"/>
    </row>
    <row r="32" spans="2:9">
      <c r="C32" s="35"/>
    </row>
    <row r="33" spans="2:9" s="19" customFormat="1">
      <c r="B33" s="19" t="s">
        <v>150</v>
      </c>
      <c r="C33" s="88"/>
      <c r="D33" s="78">
        <f>D30*D34</f>
        <v>2150.9999999999991</v>
      </c>
      <c r="E33" s="78">
        <f t="shared" ref="E33:H33" si="12">E30*E34</f>
        <v>2706.66</v>
      </c>
      <c r="F33" s="78">
        <f t="shared" si="12"/>
        <v>3291.1559999999999</v>
      </c>
      <c r="G33" s="78">
        <f t="shared" si="12"/>
        <v>3872.8988100000006</v>
      </c>
      <c r="H33" s="78">
        <f t="shared" si="12"/>
        <v>4463.8193654999995</v>
      </c>
      <c r="I33" s="46"/>
    </row>
    <row r="34" spans="2:9" s="58" customFormat="1">
      <c r="B34" s="7" t="s">
        <v>26</v>
      </c>
      <c r="C34" s="59"/>
      <c r="D34" s="60">
        <f>Assumptions!C31</f>
        <v>0.2</v>
      </c>
      <c r="E34" s="60">
        <f>Assumptions!D31</f>
        <v>0.2</v>
      </c>
      <c r="F34" s="60">
        <f>Assumptions!E31</f>
        <v>0.2</v>
      </c>
      <c r="G34" s="60">
        <f>Assumptions!F31</f>
        <v>0.2</v>
      </c>
      <c r="H34" s="60">
        <f>Assumptions!G31</f>
        <v>0.2</v>
      </c>
      <c r="I34" s="68"/>
    </row>
    <row r="35" spans="2:9" ht="16.2" thickBot="1">
      <c r="C35" s="35"/>
    </row>
    <row r="36" spans="2:9" ht="16.2" thickBot="1">
      <c r="B36" s="82" t="s">
        <v>149</v>
      </c>
      <c r="C36" s="79"/>
      <c r="D36" s="80">
        <f>D30*(1-D34)</f>
        <v>8603.9999999999964</v>
      </c>
      <c r="E36" s="80">
        <f t="shared" ref="E36:H36" si="13">E30*(1-E34)</f>
        <v>10826.64</v>
      </c>
      <c r="F36" s="80">
        <f t="shared" si="13"/>
        <v>13164.624</v>
      </c>
      <c r="G36" s="80">
        <f t="shared" si="13"/>
        <v>15491.595240000002</v>
      </c>
      <c r="H36" s="81">
        <f t="shared" si="13"/>
        <v>17855.277461999998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DD8E6"/>
  </sheetPr>
  <dimension ref="A1:H33"/>
  <sheetViews>
    <sheetView showGridLines="0" topLeftCell="A16" zoomScale="119" zoomScaleNormal="100" workbookViewId="0">
      <selection activeCell="D15" sqref="D15"/>
    </sheetView>
  </sheetViews>
  <sheetFormatPr defaultColWidth="8.6640625" defaultRowHeight="15.6"/>
  <cols>
    <col min="1" max="1" width="8.6640625" style="4"/>
    <col min="2" max="2" width="35" style="4" customWidth="1"/>
    <col min="3" max="3" width="18.77734375" style="4" customWidth="1"/>
    <col min="4" max="8" width="16" style="14" customWidth="1"/>
    <col min="9" max="16384" width="8.6640625" style="4"/>
  </cols>
  <sheetData>
    <row r="1" spans="1:8" ht="20.399999999999999">
      <c r="B1" s="10" t="s">
        <v>140</v>
      </c>
      <c r="C1" s="10"/>
      <c r="H1" s="145" t="s">
        <v>59</v>
      </c>
    </row>
    <row r="2" spans="1:8" customFormat="1">
      <c r="D2" s="14"/>
      <c r="E2" s="15"/>
      <c r="F2" s="15"/>
      <c r="G2" s="15"/>
      <c r="H2" s="15"/>
    </row>
    <row r="3" spans="1:8">
      <c r="B3" s="20" t="s">
        <v>1</v>
      </c>
      <c r="C3" s="20"/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</row>
    <row r="5" spans="1:8">
      <c r="B5" s="3" t="s">
        <v>71</v>
      </c>
      <c r="C5" s="3"/>
    </row>
    <row r="6" spans="1:8" ht="18">
      <c r="A6" s="144" t="s">
        <v>260</v>
      </c>
      <c r="B6" s="4" t="s">
        <v>72</v>
      </c>
      <c r="D6" s="146">
        <f>'Income Statement'!D30</f>
        <v>10754.999999999995</v>
      </c>
      <c r="E6" s="146">
        <f>'Income Statement'!E30</f>
        <v>13533.3</v>
      </c>
      <c r="F6" s="146">
        <f>'Income Statement'!F30</f>
        <v>16455.78</v>
      </c>
      <c r="G6" s="146">
        <f>'Income Statement'!G30</f>
        <v>19364.494050000001</v>
      </c>
      <c r="H6" s="146">
        <f>'Income Statement'!H30</f>
        <v>22319.096827499998</v>
      </c>
    </row>
    <row r="7" spans="1:8" ht="18">
      <c r="A7" s="144" t="s">
        <v>260</v>
      </c>
      <c r="B7" s="4" t="s">
        <v>64</v>
      </c>
      <c r="D7" s="146">
        <f>'Income Statement'!D18</f>
        <v>4800</v>
      </c>
      <c r="E7" s="146">
        <f>'Income Statement'!E18</f>
        <v>4443.5999999999995</v>
      </c>
      <c r="F7" s="146">
        <f>'Income Statement'!F18</f>
        <v>4087.2</v>
      </c>
      <c r="G7" s="146">
        <f>'Income Statement'!G18</f>
        <v>3737.5715999999998</v>
      </c>
      <c r="H7" s="146">
        <f>'Income Statement'!H18</f>
        <v>3361.7210700000001</v>
      </c>
    </row>
    <row r="8" spans="1:8">
      <c r="B8" s="4" t="s">
        <v>73</v>
      </c>
      <c r="D8" s="147">
        <f>-('NWC Schedule'!D11-'NWC Schedule'!C11)</f>
        <v>-13315.068493150686</v>
      </c>
      <c r="E8" s="147">
        <f>-('NWC Schedule'!E11-'NWC Schedule'!D11)</f>
        <v>-1006.0273972602736</v>
      </c>
      <c r="F8" s="147">
        <f>-('NWC Schedule'!F11-'NWC Schedule'!E11)</f>
        <v>-934.12602739726208</v>
      </c>
      <c r="G8" s="147">
        <f>-('NWC Schedule'!G11-'NWC Schedule'!F11)</f>
        <v>-762.76109589041153</v>
      </c>
      <c r="H8" s="147">
        <f>-('NWC Schedule'!H11-'NWC Schedule'!G11)</f>
        <v>-634.99861232876538</v>
      </c>
    </row>
    <row r="9" spans="1:8">
      <c r="B9" s="4" t="s">
        <v>74</v>
      </c>
      <c r="D9" s="147">
        <f>-('NWC Schedule'!D14-'NWC Schedule'!C14)</f>
        <v>-60</v>
      </c>
      <c r="E9" s="147">
        <f>-('NWC Schedule'!E14-'NWC Schedule'!D14)</f>
        <v>2</v>
      </c>
      <c r="F9" s="147">
        <f>-('NWC Schedule'!F14-'NWC Schedule'!E14)</f>
        <v>2</v>
      </c>
      <c r="G9" s="147">
        <f>-('NWC Schedule'!G14-'NWC Schedule'!F14)</f>
        <v>1</v>
      </c>
      <c r="H9" s="147">
        <f>-('NWC Schedule'!H14-'NWC Schedule'!G14)</f>
        <v>1</v>
      </c>
    </row>
    <row r="10" spans="1:8">
      <c r="B10" s="4" t="s">
        <v>75</v>
      </c>
      <c r="D10" s="147">
        <f>'NWC Schedule'!D17-'NWC Schedule'!C17</f>
        <v>0</v>
      </c>
      <c r="E10" s="147">
        <f>'NWC Schedule'!E17-'NWC Schedule'!D17</f>
        <v>0</v>
      </c>
      <c r="F10" s="147">
        <f>'NWC Schedule'!F17-'NWC Schedule'!E17</f>
        <v>0</v>
      </c>
      <c r="G10" s="147">
        <f>'NWC Schedule'!G17-'NWC Schedule'!F17</f>
        <v>0</v>
      </c>
      <c r="H10" s="147">
        <f>'NWC Schedule'!H17-'NWC Schedule'!G17</f>
        <v>0</v>
      </c>
    </row>
    <row r="11" spans="1:8" ht="16.2" thickBot="1">
      <c r="B11" s="4" t="s">
        <v>76</v>
      </c>
      <c r="C11" s="6">
        <v>0</v>
      </c>
      <c r="E11" s="147">
        <v>0</v>
      </c>
      <c r="F11" s="147">
        <v>0</v>
      </c>
      <c r="G11" s="147">
        <v>0</v>
      </c>
      <c r="H11" s="147">
        <v>0</v>
      </c>
    </row>
    <row r="12" spans="1:8" ht="16.2" thickBot="1">
      <c r="B12" s="69" t="s">
        <v>77</v>
      </c>
      <c r="C12" s="89">
        <f>C6+C7+C8+C9+C10+C11</f>
        <v>0</v>
      </c>
      <c r="D12" s="148"/>
      <c r="E12" s="148"/>
      <c r="F12" s="148"/>
      <c r="G12" s="148"/>
      <c r="H12" s="149"/>
    </row>
    <row r="15" spans="1:8">
      <c r="B15" s="3" t="s">
        <v>78</v>
      </c>
      <c r="D15" s="150">
        <f>'PPE Schedule'!D7</f>
        <v>-5940</v>
      </c>
      <c r="E15" s="150">
        <f>'PPE Schedule'!E7</f>
        <v>-5940.0000000000009</v>
      </c>
      <c r="F15" s="150">
        <f>'PPE Schedule'!F7</f>
        <v>-5827.1400000000012</v>
      </c>
      <c r="G15" s="150">
        <f>'PPE Schedule'!G7</f>
        <v>-6264.1755000000012</v>
      </c>
      <c r="H15" s="150">
        <f>'PPE Schedule'!H7</f>
        <v>0</v>
      </c>
    </row>
    <row r="16" spans="1:8">
      <c r="B16" s="4" t="s">
        <v>44</v>
      </c>
      <c r="E16" s="147">
        <v>0</v>
      </c>
      <c r="F16" s="147">
        <v>0</v>
      </c>
      <c r="G16" s="147">
        <v>0</v>
      </c>
      <c r="H16" s="147">
        <v>0</v>
      </c>
    </row>
    <row r="17" spans="2:8">
      <c r="B17" s="4" t="s">
        <v>79</v>
      </c>
      <c r="C17" s="6">
        <v>0</v>
      </c>
      <c r="E17" s="147">
        <v>0</v>
      </c>
      <c r="F17" s="147">
        <v>0</v>
      </c>
      <c r="G17" s="147">
        <v>0</v>
      </c>
      <c r="H17" s="147">
        <v>0</v>
      </c>
    </row>
    <row r="18" spans="2:8" ht="16.2" thickBot="1">
      <c r="B18" s="4" t="s">
        <v>80</v>
      </c>
      <c r="C18" s="6">
        <v>0</v>
      </c>
    </row>
    <row r="19" spans="2:8" ht="16.2" thickBot="1">
      <c r="B19" s="69" t="s">
        <v>81</v>
      </c>
      <c r="C19" s="89">
        <f>C16+C17+C18</f>
        <v>0</v>
      </c>
      <c r="D19" s="148"/>
      <c r="E19" s="148"/>
      <c r="F19" s="148"/>
      <c r="G19" s="148"/>
      <c r="H19" s="149"/>
    </row>
    <row r="21" spans="2:8">
      <c r="D21" s="150" t="e">
        <f>'Debt Schedule'!D5+'Debt Schedule'!#REF!</f>
        <v>#REF!</v>
      </c>
      <c r="E21" s="150" t="e">
        <f>'Debt Schedule'!E5+'Debt Schedule'!#REF!</f>
        <v>#REF!</v>
      </c>
      <c r="F21" s="150" t="e">
        <f>'Debt Schedule'!F5+'Debt Schedule'!#REF!</f>
        <v>#REF!</v>
      </c>
      <c r="G21" s="150" t="e">
        <f>'Debt Schedule'!G5+'Debt Schedule'!#REF!</f>
        <v>#REF!</v>
      </c>
      <c r="H21" s="150" t="e">
        <f>'Debt Schedule'!H5+'Debt Schedule'!#REF!</f>
        <v>#REF!</v>
      </c>
    </row>
    <row r="22" spans="2:8">
      <c r="B22" s="3" t="s">
        <v>82</v>
      </c>
      <c r="D22" s="150">
        <f>-'Debt Schedule'!D7-'Debt Schedule'!D18</f>
        <v>0</v>
      </c>
      <c r="E22" s="150">
        <f>-'Debt Schedule'!E7-'Debt Schedule'!E18</f>
        <v>0</v>
      </c>
      <c r="F22" s="150">
        <f>-'Debt Schedule'!F7-'Debt Schedule'!F18</f>
        <v>0</v>
      </c>
      <c r="G22" s="150">
        <f>-'Debt Schedule'!G7-'Debt Schedule'!G18</f>
        <v>0</v>
      </c>
      <c r="H22" s="150">
        <f>-'Debt Schedule'!H7-'Debt Schedule'!H18</f>
        <v>0</v>
      </c>
    </row>
    <row r="23" spans="2:8">
      <c r="B23" s="4" t="s">
        <v>35</v>
      </c>
      <c r="E23" s="147">
        <v>0</v>
      </c>
      <c r="F23" s="147">
        <v>0</v>
      </c>
      <c r="G23" s="147">
        <v>0</v>
      </c>
      <c r="H23" s="147">
        <v>0</v>
      </c>
    </row>
    <row r="24" spans="2:8">
      <c r="B24" s="4" t="s">
        <v>36</v>
      </c>
      <c r="D24" s="150" t="e">
        <f>-'Income Statement'!#REF!*Assumptions!D31</f>
        <v>#REF!</v>
      </c>
      <c r="E24" s="150" t="e">
        <f>-'Income Statement'!#REF!*Assumptions!E31</f>
        <v>#REF!</v>
      </c>
      <c r="F24" s="150" t="e">
        <f>-'Income Statement'!#REF!*Assumptions!F31</f>
        <v>#REF!</v>
      </c>
      <c r="G24" s="150" t="e">
        <f>-'Income Statement'!#REF!*Assumptions!G31</f>
        <v>#REF!</v>
      </c>
      <c r="H24" s="150" t="e">
        <f>-'Income Statement'!#REF!*Assumptions!H31</f>
        <v>#REF!</v>
      </c>
    </row>
    <row r="25" spans="2:8">
      <c r="B25" s="4" t="s">
        <v>83</v>
      </c>
      <c r="C25" s="6">
        <v>0</v>
      </c>
    </row>
    <row r="26" spans="2:8" ht="16.2" thickBot="1">
      <c r="B26" s="4" t="s">
        <v>84</v>
      </c>
      <c r="D26" s="151">
        <f>'Income Statement'!D33</f>
        <v>2150.9999999999991</v>
      </c>
      <c r="E26" s="151">
        <f>'Income Statement'!E33</f>
        <v>2706.66</v>
      </c>
      <c r="F26" s="151">
        <f>'Income Statement'!F33</f>
        <v>3291.1559999999999</v>
      </c>
      <c r="G26" s="151">
        <f>'Income Statement'!G33</f>
        <v>3872.8988100000006</v>
      </c>
      <c r="H26" s="151">
        <f>'Income Statement'!H33</f>
        <v>4463.8193654999995</v>
      </c>
    </row>
    <row r="27" spans="2:8" ht="16.2" thickBot="1">
      <c r="B27" s="69" t="s">
        <v>85</v>
      </c>
      <c r="C27" s="89">
        <f>C23+C24+C25+C26</f>
        <v>0</v>
      </c>
      <c r="D27" s="148"/>
      <c r="E27" s="148"/>
      <c r="F27" s="148"/>
      <c r="G27" s="148"/>
      <c r="H27" s="149"/>
    </row>
    <row r="29" spans="2:8">
      <c r="D29" s="150">
        <f>'Balance Sheet'!C6</f>
        <v>0</v>
      </c>
      <c r="E29" s="150">
        <f>'Balance Sheet'!D6</f>
        <v>0</v>
      </c>
      <c r="F29" s="150">
        <f>'Balance Sheet'!E6</f>
        <v>0</v>
      </c>
      <c r="G29" s="150">
        <f>'Balance Sheet'!F6</f>
        <v>0</v>
      </c>
      <c r="H29" s="150">
        <f>'Balance Sheet'!G6</f>
        <v>0</v>
      </c>
    </row>
    <row r="30" spans="2:8">
      <c r="B30" s="3" t="s">
        <v>86</v>
      </c>
      <c r="C30" s="9">
        <f>C12+C19+C27</f>
        <v>0</v>
      </c>
    </row>
    <row r="32" spans="2:8" ht="16.2" thickBot="1">
      <c r="B32" s="4" t="s">
        <v>87</v>
      </c>
    </row>
    <row r="33" spans="2:8" ht="16.2" thickBot="1">
      <c r="B33" s="69" t="s">
        <v>88</v>
      </c>
      <c r="C33" s="89">
        <f>C32+C30</f>
        <v>0</v>
      </c>
      <c r="D33" s="148"/>
      <c r="E33" s="148"/>
      <c r="F33" s="148"/>
      <c r="G33" s="148"/>
      <c r="H33" s="1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H56"/>
  <sheetViews>
    <sheetView showGridLines="0" tabSelected="1" zoomScaleNormal="100" workbookViewId="0">
      <selection activeCell="K9" sqref="K9"/>
    </sheetView>
  </sheetViews>
  <sheetFormatPr defaultColWidth="8.6640625" defaultRowHeight="15.6"/>
  <cols>
    <col min="1" max="1" width="8.6640625" style="4"/>
    <col min="2" max="2" width="38" style="4" customWidth="1"/>
    <col min="3" max="8" width="16" style="4" customWidth="1"/>
    <col min="9" max="16384" width="8.6640625" style="4"/>
  </cols>
  <sheetData>
    <row r="1" spans="1:8" ht="20.399999999999999">
      <c r="B1" s="10" t="s">
        <v>141</v>
      </c>
      <c r="C1" s="7" t="s">
        <v>59</v>
      </c>
      <c r="D1" s="14"/>
      <c r="E1" s="14"/>
      <c r="F1" s="14"/>
      <c r="G1" s="14"/>
    </row>
    <row r="2" spans="1:8" customFormat="1">
      <c r="C2" s="14"/>
      <c r="D2" s="15"/>
      <c r="E2" s="15"/>
      <c r="F2" s="15"/>
      <c r="G2" s="15"/>
    </row>
    <row r="3" spans="1:8">
      <c r="B3" s="20" t="s">
        <v>1</v>
      </c>
      <c r="C3" s="25" t="s">
        <v>27</v>
      </c>
      <c r="D3" s="20" t="s">
        <v>28</v>
      </c>
      <c r="E3" s="20" t="s">
        <v>29</v>
      </c>
      <c r="F3" s="20" t="s">
        <v>30</v>
      </c>
      <c r="G3" s="20" t="s">
        <v>31</v>
      </c>
      <c r="H3" s="20" t="s">
        <v>32</v>
      </c>
    </row>
    <row r="4" spans="1:8">
      <c r="C4" s="26"/>
    </row>
    <row r="5" spans="1:8">
      <c r="B5" s="3" t="s">
        <v>89</v>
      </c>
      <c r="C5" s="26"/>
    </row>
    <row r="6" spans="1:8">
      <c r="B6" s="1" t="s">
        <v>90</v>
      </c>
      <c r="C6" s="26"/>
      <c r="D6" s="8"/>
      <c r="E6" s="8"/>
      <c r="F6" s="8"/>
      <c r="G6" s="8"/>
      <c r="H6" s="8"/>
    </row>
    <row r="7" spans="1:8">
      <c r="B7" s="4" t="s">
        <v>91</v>
      </c>
      <c r="C7" s="28">
        <v>15000</v>
      </c>
      <c r="D7" s="8"/>
      <c r="E7" s="8"/>
      <c r="F7" s="8"/>
      <c r="G7" s="8"/>
      <c r="H7" s="8"/>
    </row>
    <row r="8" spans="1:8" ht="18">
      <c r="A8" s="144" t="s">
        <v>260</v>
      </c>
      <c r="B8" s="4" t="s">
        <v>92</v>
      </c>
      <c r="C8" s="28">
        <v>12000</v>
      </c>
      <c r="D8" s="87">
        <f>'NWC Schedule'!D23</f>
        <v>13315.068493150686</v>
      </c>
      <c r="E8" s="87">
        <f>'NWC Schedule'!E23</f>
        <v>14321.095890410959</v>
      </c>
      <c r="F8" s="87">
        <f>'NWC Schedule'!F23</f>
        <v>15255.221917808221</v>
      </c>
      <c r="G8" s="87">
        <f>'NWC Schedule'!G23</f>
        <v>16017.983013698633</v>
      </c>
      <c r="H8" s="87">
        <f>'NWC Schedule'!H23</f>
        <v>16652.981626027398</v>
      </c>
    </row>
    <row r="9" spans="1:8" ht="18">
      <c r="A9" s="144" t="s">
        <v>260</v>
      </c>
      <c r="B9" s="4" t="s">
        <v>93</v>
      </c>
      <c r="C9" s="28">
        <v>18000</v>
      </c>
      <c r="D9" s="6">
        <f>'NWC Schedule'!D15</f>
        <v>9764.3835616438355</v>
      </c>
      <c r="E9" s="6">
        <f>'NWC Schedule'!E15</f>
        <v>10288.405479452058</v>
      </c>
      <c r="F9" s="6">
        <f>'NWC Schedule'!F15</f>
        <v>10728.32350684932</v>
      </c>
      <c r="G9" s="6">
        <f>'NWC Schedule'!G15</f>
        <v>11222.122623287674</v>
      </c>
      <c r="H9" s="6">
        <f>'NWC Schedule'!H15</f>
        <v>11624.593515534249</v>
      </c>
    </row>
    <row r="10" spans="1:8">
      <c r="B10" s="4" t="s">
        <v>94</v>
      </c>
      <c r="C10" s="28">
        <v>3000</v>
      </c>
      <c r="D10" s="6">
        <f t="shared" ref="D10:H10" si="0">C10</f>
        <v>3000</v>
      </c>
      <c r="E10" s="6">
        <f t="shared" si="0"/>
        <v>3000</v>
      </c>
      <c r="F10" s="6">
        <f t="shared" si="0"/>
        <v>3000</v>
      </c>
      <c r="G10" s="6">
        <f t="shared" si="0"/>
        <v>3000</v>
      </c>
      <c r="H10" s="6">
        <f t="shared" si="0"/>
        <v>3000</v>
      </c>
    </row>
    <row r="11" spans="1:8" ht="16.2" thickBot="1">
      <c r="B11" s="4" t="s">
        <v>95</v>
      </c>
      <c r="C11" s="28">
        <v>2000</v>
      </c>
    </row>
    <row r="12" spans="1:8" ht="16.2" thickTop="1">
      <c r="B12" s="83" t="s">
        <v>261</v>
      </c>
      <c r="C12" s="64">
        <f>SUM(C7:C11)</f>
        <v>50000</v>
      </c>
      <c r="D12" s="31"/>
      <c r="E12" s="31"/>
      <c r="F12" s="31"/>
      <c r="G12" s="31"/>
      <c r="H12" s="31"/>
    </row>
    <row r="13" spans="1:8">
      <c r="C13" s="26"/>
      <c r="D13" s="8"/>
      <c r="E13" s="8"/>
      <c r="F13" s="8"/>
      <c r="G13" s="8"/>
      <c r="H13" s="8"/>
    </row>
    <row r="14" spans="1:8">
      <c r="B14" s="1" t="s">
        <v>96</v>
      </c>
      <c r="C14" s="26"/>
      <c r="D14" s="8"/>
      <c r="E14" s="8"/>
      <c r="F14" s="8"/>
      <c r="G14" s="8"/>
      <c r="H14" s="8"/>
    </row>
    <row r="15" spans="1:8" ht="18">
      <c r="A15" s="144" t="s">
        <v>260</v>
      </c>
      <c r="B15" s="4" t="s">
        <v>97</v>
      </c>
      <c r="C15" s="28">
        <v>80000</v>
      </c>
      <c r="D15" s="63">
        <f>'PPE Schedule'!D9</f>
        <v>74060</v>
      </c>
      <c r="E15" s="63">
        <f>'PPE Schedule'!E9</f>
        <v>68120</v>
      </c>
      <c r="F15" s="63">
        <f>'PPE Schedule'!F9</f>
        <v>62292.86</v>
      </c>
      <c r="G15" s="63">
        <f>'PPE Schedule'!G9</f>
        <v>56028.684500000003</v>
      </c>
      <c r="H15" s="63">
        <f>'PPE Schedule'!H9</f>
        <v>56028.684500000003</v>
      </c>
    </row>
    <row r="16" spans="1:8" ht="18">
      <c r="A16" s="144" t="s">
        <v>260</v>
      </c>
      <c r="B16" s="4" t="s">
        <v>98</v>
      </c>
      <c r="C16" s="28">
        <v>32000</v>
      </c>
      <c r="D16" s="6">
        <f>'PPE Schedule'!D15</f>
        <v>36800</v>
      </c>
      <c r="E16" s="6">
        <f>'PPE Schedule'!E15</f>
        <v>41243.599999999999</v>
      </c>
      <c r="F16" s="6">
        <f>'PPE Schedule'!F15</f>
        <v>45330.799999999996</v>
      </c>
      <c r="G16" s="6">
        <f>'PPE Schedule'!G15</f>
        <v>49068.371599999999</v>
      </c>
      <c r="H16" s="6">
        <f>'PPE Schedule'!H15</f>
        <v>52430.092669999998</v>
      </c>
    </row>
    <row r="17" spans="1:8" ht="18">
      <c r="A17" s="144" t="s">
        <v>260</v>
      </c>
      <c r="B17" s="84" t="s">
        <v>99</v>
      </c>
      <c r="C17" s="85">
        <f>C15-C16</f>
        <v>48000</v>
      </c>
      <c r="D17" s="86">
        <f>D15-D16</f>
        <v>37260</v>
      </c>
      <c r="E17" s="86">
        <f t="shared" ref="E17:H17" si="1">E15-E16</f>
        <v>26876.400000000001</v>
      </c>
      <c r="F17" s="86">
        <f t="shared" si="1"/>
        <v>16962.060000000005</v>
      </c>
      <c r="G17" s="86">
        <f t="shared" si="1"/>
        <v>6960.3129000000044</v>
      </c>
      <c r="H17" s="86">
        <f t="shared" si="1"/>
        <v>3598.5918300000048</v>
      </c>
    </row>
    <row r="18" spans="1:8">
      <c r="B18" s="4" t="s">
        <v>100</v>
      </c>
      <c r="C18" s="28">
        <v>5000</v>
      </c>
      <c r="D18" s="6">
        <f t="shared" ref="D18:H19" si="2">C18</f>
        <v>5000</v>
      </c>
      <c r="E18" s="6">
        <f t="shared" si="2"/>
        <v>5000</v>
      </c>
      <c r="F18" s="6">
        <f t="shared" si="2"/>
        <v>5000</v>
      </c>
      <c r="G18" s="6">
        <f t="shared" si="2"/>
        <v>5000</v>
      </c>
      <c r="H18" s="6">
        <f t="shared" si="2"/>
        <v>5000</v>
      </c>
    </row>
    <row r="19" spans="1:8">
      <c r="B19" s="4" t="s">
        <v>101</v>
      </c>
      <c r="C19" s="28">
        <v>3000</v>
      </c>
      <c r="D19" s="6">
        <f t="shared" si="2"/>
        <v>3000</v>
      </c>
      <c r="E19" s="6">
        <f t="shared" si="2"/>
        <v>3000</v>
      </c>
      <c r="F19" s="6">
        <f t="shared" si="2"/>
        <v>3000</v>
      </c>
      <c r="G19" s="6">
        <f t="shared" si="2"/>
        <v>3000</v>
      </c>
      <c r="H19" s="6">
        <f t="shared" si="2"/>
        <v>3000</v>
      </c>
    </row>
    <row r="20" spans="1:8">
      <c r="B20" s="4" t="s">
        <v>102</v>
      </c>
      <c r="C20" s="28">
        <v>8000</v>
      </c>
    </row>
    <row r="21" spans="1:8" ht="16.2" thickBot="1">
      <c r="B21" s="4" t="s">
        <v>103</v>
      </c>
      <c r="C21" s="28">
        <v>1500</v>
      </c>
    </row>
    <row r="22" spans="1:8" ht="16.2" thickTop="1">
      <c r="B22" s="83" t="s">
        <v>104</v>
      </c>
      <c r="C22" s="64">
        <f>C17+SUM(C18:C21)</f>
        <v>65500</v>
      </c>
      <c r="D22" s="31"/>
      <c r="E22" s="31"/>
      <c r="F22" s="31"/>
      <c r="G22" s="31"/>
      <c r="H22" s="31"/>
    </row>
    <row r="23" spans="1:8" ht="16.2" thickBot="1">
      <c r="C23" s="26"/>
    </row>
    <row r="24" spans="1:8" ht="16.2" thickBot="1">
      <c r="B24" s="67" t="s">
        <v>105</v>
      </c>
      <c r="C24" s="70">
        <f>C12+C22</f>
        <v>115500</v>
      </c>
      <c r="D24" s="71">
        <f>D12+D22</f>
        <v>0</v>
      </c>
      <c r="E24" s="71">
        <f t="shared" ref="E24:H24" si="3">E12+E22</f>
        <v>0</v>
      </c>
      <c r="F24" s="71">
        <f t="shared" si="3"/>
        <v>0</v>
      </c>
      <c r="G24" s="71">
        <f t="shared" si="3"/>
        <v>0</v>
      </c>
      <c r="H24" s="71">
        <f t="shared" si="3"/>
        <v>0</v>
      </c>
    </row>
    <row r="25" spans="1:8">
      <c r="C25" s="26"/>
    </row>
    <row r="26" spans="1:8">
      <c r="C26" s="26"/>
    </row>
    <row r="27" spans="1:8">
      <c r="B27" s="3" t="s">
        <v>106</v>
      </c>
      <c r="C27" s="26"/>
    </row>
    <row r="28" spans="1:8">
      <c r="B28" s="1" t="s">
        <v>107</v>
      </c>
      <c r="C28" s="26"/>
      <c r="D28" s="8"/>
      <c r="E28" s="8"/>
      <c r="F28" s="8"/>
      <c r="G28" s="8"/>
      <c r="H28" s="8"/>
    </row>
    <row r="29" spans="1:8" ht="18">
      <c r="A29" s="144" t="s">
        <v>260</v>
      </c>
      <c r="B29" s="4" t="s">
        <v>108</v>
      </c>
      <c r="C29" s="28">
        <v>10000</v>
      </c>
      <c r="D29" s="87">
        <f>'NWC Schedule'!D25</f>
        <v>5695.8904109589048</v>
      </c>
      <c r="E29" s="87">
        <f>'NWC Schedule'!E25</f>
        <v>6385.9068493150698</v>
      </c>
      <c r="F29" s="87">
        <f>'NWC Schedule'!F25</f>
        <v>7088.3566027397283</v>
      </c>
      <c r="G29" s="87">
        <f>'NWC Schedule'!G25</f>
        <v>7753.4665397260296</v>
      </c>
      <c r="H29" s="87">
        <f>'NWC Schedule'!H25</f>
        <v>8395.5397612191791</v>
      </c>
    </row>
    <row r="30" spans="1:8">
      <c r="B30" s="4" t="s">
        <v>109</v>
      </c>
      <c r="C30" s="28">
        <f>'Debt Schedule'!C9</f>
        <v>8000</v>
      </c>
      <c r="D30" s="6">
        <f>'Debt Schedule'!D9</f>
        <v>8000</v>
      </c>
      <c r="E30" s="6">
        <f>'Debt Schedule'!E9</f>
        <v>8000</v>
      </c>
      <c r="F30" s="6">
        <f>'Debt Schedule'!F9</f>
        <v>8000</v>
      </c>
      <c r="G30" s="6">
        <f>'Debt Schedule'!G9</f>
        <v>8000</v>
      </c>
      <c r="H30" s="6">
        <f>'Debt Schedule'!H9</f>
        <v>8000</v>
      </c>
    </row>
    <row r="31" spans="1:8">
      <c r="B31" s="4" t="s">
        <v>110</v>
      </c>
      <c r="C31" s="28">
        <v>4000</v>
      </c>
      <c r="D31" s="6">
        <f t="shared" ref="D31:H34" si="4">C31</f>
        <v>4000</v>
      </c>
      <c r="E31" s="6">
        <f t="shared" si="4"/>
        <v>4000</v>
      </c>
      <c r="F31" s="6">
        <f t="shared" si="4"/>
        <v>4000</v>
      </c>
      <c r="G31" s="6">
        <f t="shared" si="4"/>
        <v>4000</v>
      </c>
      <c r="H31" s="6">
        <f t="shared" si="4"/>
        <v>4000</v>
      </c>
    </row>
    <row r="32" spans="1:8">
      <c r="B32" s="4" t="s">
        <v>111</v>
      </c>
      <c r="C32" s="28">
        <v>2500</v>
      </c>
      <c r="D32" s="6">
        <f t="shared" si="4"/>
        <v>2500</v>
      </c>
      <c r="E32" s="6">
        <f t="shared" si="4"/>
        <v>2500</v>
      </c>
      <c r="F32" s="6">
        <f t="shared" si="4"/>
        <v>2500</v>
      </c>
      <c r="G32" s="6">
        <f t="shared" si="4"/>
        <v>2500</v>
      </c>
      <c r="H32" s="6">
        <f t="shared" si="4"/>
        <v>2500</v>
      </c>
    </row>
    <row r="33" spans="2:8">
      <c r="B33" s="4" t="s">
        <v>112</v>
      </c>
      <c r="C33" s="28">
        <v>1500</v>
      </c>
      <c r="D33" s="6">
        <f t="shared" si="4"/>
        <v>1500</v>
      </c>
      <c r="E33" s="6">
        <f t="shared" si="4"/>
        <v>1500</v>
      </c>
      <c r="F33" s="6">
        <f t="shared" si="4"/>
        <v>1500</v>
      </c>
      <c r="G33" s="6">
        <f t="shared" si="4"/>
        <v>1500</v>
      </c>
      <c r="H33" s="6">
        <f t="shared" si="4"/>
        <v>1500</v>
      </c>
    </row>
    <row r="34" spans="2:8">
      <c r="B34" s="4" t="s">
        <v>113</v>
      </c>
      <c r="C34" s="28">
        <v>2000</v>
      </c>
      <c r="D34" s="6">
        <f t="shared" si="4"/>
        <v>2000</v>
      </c>
      <c r="E34" s="6">
        <f t="shared" si="4"/>
        <v>2000</v>
      </c>
      <c r="F34" s="6">
        <f t="shared" si="4"/>
        <v>2000</v>
      </c>
      <c r="G34" s="6">
        <f t="shared" si="4"/>
        <v>2000</v>
      </c>
      <c r="H34" s="6">
        <f t="shared" si="4"/>
        <v>2000</v>
      </c>
    </row>
    <row r="35" spans="2:8" ht="16.2" thickBot="1">
      <c r="B35" s="4" t="s">
        <v>114</v>
      </c>
      <c r="C35" s="28">
        <v>1000</v>
      </c>
    </row>
    <row r="36" spans="2:8" ht="16.2" thickTop="1">
      <c r="B36" s="83" t="s">
        <v>115</v>
      </c>
      <c r="C36" s="64">
        <f>SUM(C29:C35)</f>
        <v>29000</v>
      </c>
      <c r="D36" s="31"/>
      <c r="E36" s="31"/>
      <c r="F36" s="31"/>
      <c r="G36" s="31"/>
      <c r="H36" s="31"/>
    </row>
    <row r="37" spans="2:8">
      <c r="C37" s="26"/>
      <c r="D37" s="8"/>
      <c r="E37" s="8"/>
      <c r="F37" s="8"/>
      <c r="G37" s="8"/>
      <c r="H37" s="8"/>
    </row>
    <row r="38" spans="2:8">
      <c r="B38" s="1" t="s">
        <v>116</v>
      </c>
      <c r="C38" s="26"/>
      <c r="D38" s="6"/>
      <c r="E38" s="6"/>
      <c r="F38" s="6"/>
      <c r="G38" s="6"/>
      <c r="H38" s="6"/>
    </row>
    <row r="39" spans="2:8">
      <c r="B39" s="4" t="s">
        <v>117</v>
      </c>
      <c r="C39" s="28">
        <f>'Debt Schedule'!C19</f>
        <v>35000</v>
      </c>
      <c r="D39" s="6">
        <f>'Debt Schedule'!D19</f>
        <v>35000</v>
      </c>
      <c r="E39" s="6">
        <f>'Debt Schedule'!E19</f>
        <v>35000</v>
      </c>
      <c r="F39" s="6">
        <f>'Debt Schedule'!F19</f>
        <v>35000</v>
      </c>
      <c r="G39" s="6">
        <f>'Debt Schedule'!G19</f>
        <v>35000</v>
      </c>
      <c r="H39" s="6">
        <f>'Debt Schedule'!H19</f>
        <v>35000</v>
      </c>
    </row>
    <row r="40" spans="2:8">
      <c r="B40" s="4" t="s">
        <v>118</v>
      </c>
      <c r="C40" s="28">
        <v>4000</v>
      </c>
      <c r="D40" s="6">
        <f t="shared" ref="D40:H40" si="5">C40</f>
        <v>4000</v>
      </c>
      <c r="E40" s="6">
        <f t="shared" si="5"/>
        <v>4000</v>
      </c>
      <c r="F40" s="6">
        <f t="shared" si="5"/>
        <v>4000</v>
      </c>
      <c r="G40" s="6">
        <f t="shared" si="5"/>
        <v>4000</v>
      </c>
      <c r="H40" s="6">
        <f t="shared" si="5"/>
        <v>4000</v>
      </c>
    </row>
    <row r="41" spans="2:8">
      <c r="B41" s="4" t="s">
        <v>119</v>
      </c>
      <c r="C41" s="28">
        <v>3000</v>
      </c>
    </row>
    <row r="42" spans="2:8" ht="16.2" thickBot="1">
      <c r="B42" s="4" t="s">
        <v>120</v>
      </c>
      <c r="C42" s="28">
        <v>2000</v>
      </c>
    </row>
    <row r="43" spans="2:8" ht="16.2" thickTop="1">
      <c r="B43" s="83" t="s">
        <v>121</v>
      </c>
      <c r="C43" s="64">
        <f>SUM(C39:C42)</f>
        <v>44000</v>
      </c>
      <c r="D43" s="31"/>
      <c r="E43" s="31"/>
      <c r="F43" s="31"/>
      <c r="G43" s="31"/>
      <c r="H43" s="31"/>
    </row>
    <row r="44" spans="2:8" ht="16.2" thickBot="1">
      <c r="C44" s="26"/>
    </row>
    <row r="45" spans="2:8" ht="16.2" thickBot="1">
      <c r="B45" s="69" t="s">
        <v>122</v>
      </c>
      <c r="C45" s="70">
        <f>C36+C43</f>
        <v>73000</v>
      </c>
      <c r="D45" s="71">
        <f>D36+D43</f>
        <v>0</v>
      </c>
      <c r="E45" s="71">
        <f t="shared" ref="E45:H45" si="6">E36+E43</f>
        <v>0</v>
      </c>
      <c r="F45" s="71">
        <f t="shared" si="6"/>
        <v>0</v>
      </c>
      <c r="G45" s="71">
        <f t="shared" si="6"/>
        <v>0</v>
      </c>
      <c r="H45" s="71">
        <f t="shared" si="6"/>
        <v>0</v>
      </c>
    </row>
    <row r="46" spans="2:8">
      <c r="C46" s="26"/>
    </row>
    <row r="47" spans="2:8">
      <c r="C47" s="26"/>
      <c r="D47" s="6">
        <f t="shared" ref="D47:H48" si="7">C47</f>
        <v>0</v>
      </c>
      <c r="E47" s="6">
        <f t="shared" si="7"/>
        <v>0</v>
      </c>
      <c r="F47" s="6">
        <f t="shared" si="7"/>
        <v>0</v>
      </c>
      <c r="G47" s="6">
        <f t="shared" si="7"/>
        <v>0</v>
      </c>
      <c r="H47" s="6">
        <f t="shared" si="7"/>
        <v>0</v>
      </c>
    </row>
    <row r="48" spans="2:8">
      <c r="B48" s="1" t="s">
        <v>123</v>
      </c>
      <c r="C48" s="26"/>
      <c r="D48" s="6">
        <f t="shared" si="7"/>
        <v>0</v>
      </c>
      <c r="E48" s="6">
        <f t="shared" si="7"/>
        <v>0</v>
      </c>
      <c r="F48" s="6">
        <f t="shared" si="7"/>
        <v>0</v>
      </c>
      <c r="G48" s="6">
        <f t="shared" si="7"/>
        <v>0</v>
      </c>
      <c r="H48" s="6">
        <f t="shared" si="7"/>
        <v>0</v>
      </c>
    </row>
    <row r="49" spans="2:8">
      <c r="B49" s="4" t="s">
        <v>124</v>
      </c>
      <c r="C49" s="28">
        <v>10000</v>
      </c>
      <c r="D49" s="8" t="e">
        <f>C49+'Income Statement'!#REF!+'Cash Flow'!D24</f>
        <v>#REF!</v>
      </c>
      <c r="E49" s="8" t="e">
        <f>D49+'Income Statement'!#REF!+'Cash Flow'!E24</f>
        <v>#REF!</v>
      </c>
      <c r="F49" s="8" t="e">
        <f>E49+'Income Statement'!#REF!+'Cash Flow'!F24</f>
        <v>#REF!</v>
      </c>
      <c r="G49" s="8" t="e">
        <f>F49+'Income Statement'!#REF!+'Cash Flow'!G24</f>
        <v>#REF!</v>
      </c>
      <c r="H49" s="8" t="e">
        <f>G49+'Income Statement'!#REF!+'Cash Flow'!H24</f>
        <v>#REF!</v>
      </c>
    </row>
    <row r="50" spans="2:8">
      <c r="B50" s="4" t="s">
        <v>125</v>
      </c>
      <c r="C50" s="28">
        <v>15000</v>
      </c>
      <c r="D50" s="6">
        <f t="shared" ref="D50:H50" si="8">C50</f>
        <v>15000</v>
      </c>
      <c r="E50" s="6">
        <f t="shared" si="8"/>
        <v>15000</v>
      </c>
      <c r="F50" s="6">
        <f t="shared" si="8"/>
        <v>15000</v>
      </c>
      <c r="G50" s="6">
        <f t="shared" si="8"/>
        <v>15000</v>
      </c>
      <c r="H50" s="6">
        <f t="shared" si="8"/>
        <v>15000</v>
      </c>
    </row>
    <row r="51" spans="2:8" ht="16.2" thickBot="1">
      <c r="B51" s="4" t="s">
        <v>126</v>
      </c>
      <c r="C51" s="28">
        <v>17500</v>
      </c>
      <c r="D51" s="6">
        <f>'Income Statement'!D36</f>
        <v>8603.9999999999964</v>
      </c>
      <c r="E51" s="6">
        <f>'Income Statement'!E36</f>
        <v>10826.64</v>
      </c>
      <c r="F51" s="6">
        <f>'Income Statement'!F36</f>
        <v>13164.624</v>
      </c>
      <c r="G51" s="6">
        <f>'Income Statement'!G36</f>
        <v>15491.595240000002</v>
      </c>
      <c r="H51" s="6">
        <f>'Income Statement'!H36</f>
        <v>17855.277461999998</v>
      </c>
    </row>
    <row r="52" spans="2:8" ht="16.2" thickBot="1">
      <c r="B52" s="69" t="s">
        <v>127</v>
      </c>
      <c r="C52" s="70">
        <f>SUM(C49:C51)</f>
        <v>42500</v>
      </c>
      <c r="D52" s="71"/>
      <c r="E52" s="71"/>
      <c r="F52" s="71"/>
      <c r="G52" s="71"/>
      <c r="H52" s="72"/>
    </row>
    <row r="53" spans="2:8" ht="16.2" thickBot="1">
      <c r="C53" s="26"/>
    </row>
    <row r="54" spans="2:8" ht="16.2" thickBot="1">
      <c r="B54" s="67" t="s">
        <v>128</v>
      </c>
      <c r="C54" s="70">
        <f>C45+C52</f>
        <v>115500</v>
      </c>
      <c r="D54" s="71">
        <f>D45+D52</f>
        <v>0</v>
      </c>
      <c r="E54" s="71">
        <f t="shared" ref="E54:H54" si="9">E45+E52</f>
        <v>0</v>
      </c>
      <c r="F54" s="71">
        <f t="shared" si="9"/>
        <v>0</v>
      </c>
      <c r="G54" s="71">
        <f t="shared" si="9"/>
        <v>0</v>
      </c>
      <c r="H54" s="71">
        <f t="shared" si="9"/>
        <v>0</v>
      </c>
    </row>
    <row r="56" spans="2:8">
      <c r="C56" s="6">
        <f>C54-C24</f>
        <v>0</v>
      </c>
      <c r="D56" s="6">
        <f t="shared" ref="D56:H56" si="10">D54-D24</f>
        <v>0</v>
      </c>
      <c r="E56" s="6">
        <f t="shared" si="10"/>
        <v>0</v>
      </c>
      <c r="F56" s="6">
        <f t="shared" si="10"/>
        <v>0</v>
      </c>
      <c r="G56" s="6">
        <f t="shared" si="10"/>
        <v>0</v>
      </c>
      <c r="H56" s="6">
        <f t="shared" si="1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AA8-7A3E-4AAD-9A89-F2097466256F}">
  <sheetPr>
    <tabColor theme="4"/>
  </sheetPr>
  <dimension ref="B1:N44"/>
  <sheetViews>
    <sheetView showGridLines="0" zoomScale="70" zoomScaleNormal="70" workbookViewId="0">
      <selection activeCell="B1" sqref="B1"/>
    </sheetView>
  </sheetViews>
  <sheetFormatPr defaultRowHeight="14.4" outlineLevelRow="1" outlineLevelCol="1"/>
  <cols>
    <col min="1" max="1" width="4.33203125" customWidth="1"/>
    <col min="2" max="2" width="19.88671875" customWidth="1"/>
    <col min="3" max="3" width="29" hidden="1" customWidth="1" outlineLevel="1"/>
    <col min="4" max="4" width="13.21875" hidden="1" customWidth="1" outlineLevel="1"/>
    <col min="5" max="5" width="13.33203125" customWidth="1" collapsed="1"/>
    <col min="6" max="14" width="13.33203125" customWidth="1"/>
  </cols>
  <sheetData>
    <row r="1" spans="2:14" ht="20.399999999999999">
      <c r="B1" s="10" t="s">
        <v>194</v>
      </c>
    </row>
    <row r="2" spans="2:14">
      <c r="E2" s="157" t="s">
        <v>195</v>
      </c>
      <c r="F2" s="157"/>
      <c r="G2" s="157"/>
      <c r="H2" s="157"/>
      <c r="I2" s="157"/>
      <c r="J2" s="157" t="s">
        <v>196</v>
      </c>
      <c r="K2" s="157"/>
      <c r="L2" s="157"/>
      <c r="M2" s="157"/>
      <c r="N2" s="157"/>
    </row>
    <row r="3" spans="2:14">
      <c r="E3" s="122">
        <v>2021</v>
      </c>
      <c r="F3" s="122">
        <v>2022</v>
      </c>
      <c r="G3" s="122">
        <v>2023</v>
      </c>
      <c r="H3" s="122">
        <v>2024</v>
      </c>
      <c r="I3" s="122">
        <v>2025</v>
      </c>
      <c r="J3" s="133">
        <v>2026</v>
      </c>
      <c r="K3" s="133">
        <v>2027</v>
      </c>
      <c r="L3" s="133">
        <v>2028</v>
      </c>
      <c r="M3" s="133">
        <v>2029</v>
      </c>
      <c r="N3" s="133">
        <v>2030</v>
      </c>
    </row>
    <row r="6" spans="2:14" ht="15.6" outlineLevel="1">
      <c r="B6" s="134" t="s">
        <v>197</v>
      </c>
      <c r="C6" s="134"/>
      <c r="D6" s="134" t="s">
        <v>198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2:14" ht="15" outlineLevel="1">
      <c r="B7" s="32" t="s">
        <v>199</v>
      </c>
      <c r="C7" s="135" t="s">
        <v>200</v>
      </c>
      <c r="D7" s="136"/>
      <c r="E7" s="137">
        <f>[1]IS!F9/[1]IS!F5</f>
        <v>0.21859395288443695</v>
      </c>
      <c r="F7" s="137">
        <f>[1]IS!G9/[1]IS!G5</f>
        <v>0.18373268438786972</v>
      </c>
      <c r="G7" s="137">
        <f>[1]IS!H9/[1]IS!H5</f>
        <v>0.1529268292682926</v>
      </c>
      <c r="H7" s="137">
        <f>[1]IS!I9/[1]IS!I5</f>
        <v>0.1331481481481481</v>
      </c>
      <c r="I7" s="137">
        <f>[1]IS!J9/[1]IS!J5</f>
        <v>0.17057215918171639</v>
      </c>
      <c r="J7" s="137">
        <f>[1]IS!K9/[1]IS!K5</f>
        <v>0.17179475477409295</v>
      </c>
      <c r="K7" s="137">
        <f>[1]IS!L9/[1]IS!L5</f>
        <v>0.16243491515202405</v>
      </c>
      <c r="L7" s="137">
        <f>[1]IS!M9/[1]IS!M5</f>
        <v>0.15817536130485482</v>
      </c>
      <c r="M7" s="137">
        <f>[1]IS!N9/[1]IS!N5</f>
        <v>0.15922506771216727</v>
      </c>
      <c r="N7" s="137">
        <f>[1]IS!O9/[1]IS!O5</f>
        <v>0.16444045162497109</v>
      </c>
    </row>
    <row r="8" spans="2:14" ht="15" outlineLevel="1">
      <c r="B8" s="32" t="s">
        <v>201</v>
      </c>
      <c r="C8" s="135" t="s">
        <v>202</v>
      </c>
      <c r="D8" s="138"/>
      <c r="E8" s="137">
        <f>[1]IS!F12/[1]IS!F5</f>
        <v>0.11203858282322389</v>
      </c>
      <c r="F8" s="137">
        <f>[1]IS!G12/[1]IS!G5</f>
        <v>9.30363159865219E-2</v>
      </c>
      <c r="G8" s="137">
        <f>[1]IS!H12/[1]IS!H5</f>
        <v>7.926829268292683E-2</v>
      </c>
      <c r="H8" s="137">
        <f>[1]IS!I12/[1]IS!I5</f>
        <v>6.7901234567901231E-2</v>
      </c>
      <c r="I8" s="137">
        <f>[1]IS!J12/[1]IS!J5</f>
        <v>8.8540834265622509E-2</v>
      </c>
      <c r="J8" s="137">
        <f>[1]IS!K12/[1]IS!K5</f>
        <v>8.8157052065239466E-2</v>
      </c>
      <c r="K8" s="137">
        <f>[1]IS!L12/[1]IS!L5</f>
        <v>8.3380745913642473E-2</v>
      </c>
      <c r="L8" s="137">
        <f>[1]IS!M12/[1]IS!M5</f>
        <v>8.1449631899066496E-2</v>
      </c>
      <c r="M8" s="137">
        <f>[1]IS!N12/[1]IS!N5</f>
        <v>8.1885899742294446E-2</v>
      </c>
      <c r="N8" s="137">
        <f>[1]IS!O12/[1]IS!O5</f>
        <v>8.4682832777173062E-2</v>
      </c>
    </row>
    <row r="9" spans="2:14" ht="15" outlineLevel="1">
      <c r="B9" s="32" t="s">
        <v>203</v>
      </c>
      <c r="C9" s="135" t="s">
        <v>204</v>
      </c>
      <c r="D9" s="138"/>
      <c r="E9" s="137">
        <f>[1]IS!F15/[1]IS!F5</f>
        <v>9.6642552402151735E-2</v>
      </c>
      <c r="F9" s="137">
        <f>[1]IS!G15/[1]IS!G5</f>
        <v>7.5814301759640587E-2</v>
      </c>
      <c r="G9" s="137">
        <f>[1]IS!H15/[1]IS!H5</f>
        <v>6.6395663956639567E-2</v>
      </c>
      <c r="H9" s="137">
        <f>[1]IS!I15/[1]IS!I5</f>
        <v>5.7581018518518517E-2</v>
      </c>
      <c r="I9" s="137">
        <f>[1]IS!J15/[1]IS!J5</f>
        <v>8.0549784241649353E-2</v>
      </c>
      <c r="J9" s="137">
        <f>[1]IS!K15/[1]IS!K5</f>
        <v>8.8157052065239466E-2</v>
      </c>
      <c r="K9" s="137">
        <f>[1]IS!L15/[1]IS!L5</f>
        <v>8.3380745913642473E-2</v>
      </c>
      <c r="L9" s="137">
        <f>[1]IS!M15/[1]IS!M5</f>
        <v>8.1449631899066496E-2</v>
      </c>
      <c r="M9" s="137">
        <f>[1]IS!N15/[1]IS!N5</f>
        <v>8.1885899742294446E-2</v>
      </c>
      <c r="N9" s="137">
        <f>[1]IS!O15/[1]IS!O5</f>
        <v>8.4682832777173062E-2</v>
      </c>
    </row>
    <row r="10" spans="2:14" ht="15" outlineLevel="1">
      <c r="B10" s="32" t="s">
        <v>205</v>
      </c>
      <c r="C10" s="135" t="s">
        <v>206</v>
      </c>
      <c r="D10" s="138"/>
      <c r="E10" s="137">
        <f>[1]IS!F21/[1]IS!F5</f>
        <v>6.584307178631052E-2</v>
      </c>
      <c r="F10" s="137">
        <f>[1]IS!G21/[1]IS!G5</f>
        <v>5.1486334706102574E-2</v>
      </c>
      <c r="G10" s="137">
        <f>[1]IS!H21/[1]IS!H5</f>
        <v>4.1756097560975605E-2</v>
      </c>
      <c r="H10" s="137">
        <f>[1]IS!I21/[1]IS!I5</f>
        <v>3.3194444444444443E-2</v>
      </c>
      <c r="I10" s="137">
        <f>[1]IS!J21/[1]IS!J5</f>
        <v>4.9423046188269142E-2</v>
      </c>
      <c r="J10" s="137">
        <f>[1]IS!K21/[1]IS!K5</f>
        <v>6.347307748697241E-2</v>
      </c>
      <c r="K10" s="137">
        <f>[1]IS!L21/[1]IS!L5</f>
        <v>6.0034137057822574E-2</v>
      </c>
      <c r="L10" s="137">
        <f>[1]IS!M21/[1]IS!M5</f>
        <v>5.864373496732788E-2</v>
      </c>
      <c r="M10" s="137">
        <f>[1]IS!N21/[1]IS!N5</f>
        <v>5.8957847814452E-2</v>
      </c>
      <c r="N10" s="137">
        <f>[1]IS!O21/[1]IS!O5</f>
        <v>6.0971639599564607E-2</v>
      </c>
    </row>
    <row r="11" spans="2:14" ht="15" outlineLevel="1">
      <c r="B11" s="32" t="s">
        <v>207</v>
      </c>
      <c r="C11" s="135" t="s">
        <v>208</v>
      </c>
      <c r="D11" s="136"/>
      <c r="E11" s="139">
        <f>[1]IS!F21/[1]BS!F50</f>
        <v>7.4603401457767615E-2</v>
      </c>
      <c r="F11" s="139">
        <f>[1]IS!G21/(([1]BS!F50+[1]BS!G50)/2)</f>
        <v>5.6715125270646448E-2</v>
      </c>
      <c r="G11" s="139">
        <f>[1]IS!H21/(([1]BS!G50+[1]BS!H50)/2)</f>
        <v>5.8920479531940108E-2</v>
      </c>
      <c r="H11" s="139">
        <f>[1]IS!I21/(([1]BS!H50+[1]BS!I50)/2)</f>
        <v>5.8658703699916138E-2</v>
      </c>
      <c r="I11" s="139">
        <f>[1]IS!J21/(([1]BS!I50+[1]BS!J50)/2)</f>
        <v>9.3996492305260637E-2</v>
      </c>
      <c r="J11" s="139">
        <f>[1]IS!K21/(([1]BS!J50+[1]BS!K50)/2)</f>
        <v>0.24948979801527285</v>
      </c>
      <c r="K11" s="139">
        <f>[1]IS!L21/(([1]BS!K50+[1]BS!L50)/2)</f>
        <v>1.0739203245335407</v>
      </c>
      <c r="L11" s="139">
        <f>[1]IS!M21/(([1]BS!L50+[1]BS!M50)/2)</f>
        <v>1.0817838725619158</v>
      </c>
      <c r="M11" s="139">
        <f>[1]IS!N21/(([1]BS!M50+[1]BS!N50)/2)</f>
        <v>1.0877669276847652</v>
      </c>
      <c r="N11" s="139">
        <f>[1]IS!O21/(([1]BS!N50+[1]BS!O50)/2)</f>
        <v>1.0933397774527061</v>
      </c>
    </row>
    <row r="12" spans="2:14" ht="15" outlineLevel="1">
      <c r="B12" s="32" t="s">
        <v>209</v>
      </c>
      <c r="C12" s="135" t="s">
        <v>210</v>
      </c>
      <c r="D12" s="138"/>
      <c r="E12" s="139" t="e">
        <f>[1]IS!F21/(([1]BS!F22))</f>
        <v>#REF!</v>
      </c>
      <c r="F12" s="139" t="e">
        <f>[1]IS!G21/(([1]BS!F22+[1]BS!G22)/2)</f>
        <v>#REF!</v>
      </c>
      <c r="G12" s="139" t="e">
        <f>[1]IS!H21/(([1]BS!G22+[1]BS!H22)/2)</f>
        <v>#REF!</v>
      </c>
      <c r="H12" s="139" t="e">
        <f>[1]IS!I21/(([1]BS!H22+[1]BS!I22)/2)</f>
        <v>#REF!</v>
      </c>
      <c r="I12" s="139" t="e">
        <f>[1]IS!J21/(([1]BS!I22+[1]BS!J22)/2)</f>
        <v>#REF!</v>
      </c>
      <c r="J12" s="139" t="e">
        <f>[1]IS!K21/(([1]BS!J22+[1]BS!K22)/2)</f>
        <v>#REF!</v>
      </c>
      <c r="K12" s="139" t="e">
        <f>[1]IS!L21/(([1]BS!K22+[1]BS!L22)/2)</f>
        <v>#DIV/0!</v>
      </c>
      <c r="L12" s="139" t="e">
        <f>[1]IS!M21/(([1]BS!L22+[1]BS!M22)/2)</f>
        <v>#DIV/0!</v>
      </c>
      <c r="M12" s="139" t="e">
        <f>[1]IS!N21/(([1]BS!M22+[1]BS!N22)/2)</f>
        <v>#DIV/0!</v>
      </c>
      <c r="N12" s="139" t="e">
        <f>[1]IS!O21/(([1]BS!N22+[1]BS!O22)/2)</f>
        <v>#DIV/0!</v>
      </c>
    </row>
    <row r="13" spans="2:14" ht="15" outlineLevel="1">
      <c r="B13" s="32" t="s">
        <v>211</v>
      </c>
      <c r="C13" s="135" t="s">
        <v>212</v>
      </c>
      <c r="D13" s="138"/>
      <c r="E13" s="137" t="e">
        <f>[1]IS!F15*(1-[1]IS!$F$20)/('[1]Supporting Schedules'!F14+'[1]Supporting Schedules'!F22)</f>
        <v>#REF!</v>
      </c>
      <c r="F13" s="137" t="e">
        <f>[1]IS!G15*(1-[1]IS!$F$20)/('[1]Supporting Schedules'!G14+'[1]Supporting Schedules'!G22)</f>
        <v>#REF!</v>
      </c>
      <c r="G13" s="137" t="e">
        <f>[1]IS!H15*(1-[1]IS!$F$20)/('[1]Supporting Schedules'!H14+'[1]Supporting Schedules'!H22)</f>
        <v>#REF!</v>
      </c>
      <c r="H13" s="137" t="e">
        <f>[1]IS!I15*(1-[1]IS!$F$20)/('[1]Supporting Schedules'!I14+'[1]Supporting Schedules'!I22)</f>
        <v>#REF!</v>
      </c>
      <c r="I13" s="137" t="e">
        <f>[1]IS!J15*(1-[1]IS!$F$20)/('[1]Supporting Schedules'!J14+'[1]Supporting Schedules'!J22)</f>
        <v>#REF!</v>
      </c>
      <c r="J13" s="137" t="e">
        <f>[1]IS!K15*(1-[1]IS!$F$20)/('[1]Supporting Schedules'!K14+'[1]Supporting Schedules'!K22)</f>
        <v>#REF!</v>
      </c>
      <c r="K13" s="137" t="e">
        <f>[1]IS!L15*(1-[1]IS!$F$20)/('[1]Supporting Schedules'!L14+'[1]Supporting Schedules'!L22)</f>
        <v>#REF!</v>
      </c>
      <c r="L13" s="137" t="e">
        <f>[1]IS!M15*(1-[1]IS!$F$20)/('[1]Supporting Schedules'!M14+'[1]Supporting Schedules'!M22)</f>
        <v>#REF!</v>
      </c>
      <c r="M13" s="137" t="e">
        <f>[1]IS!N15*(1-[1]IS!$F$20)/('[1]Supporting Schedules'!N14+'[1]Supporting Schedules'!N22)</f>
        <v>#REF!</v>
      </c>
      <c r="N13" s="137" t="e">
        <f>[1]IS!O15*(1-[1]IS!$F$20)/('[1]Supporting Schedules'!O14+'[1]Supporting Schedules'!O22)</f>
        <v>#REF!</v>
      </c>
    </row>
    <row r="14" spans="2:14">
      <c r="B14" s="140"/>
      <c r="C14" s="141"/>
      <c r="D14" s="142"/>
      <c r="E14" s="142"/>
      <c r="F14" s="142"/>
      <c r="G14" s="142"/>
      <c r="H14" s="142"/>
      <c r="I14" s="142"/>
    </row>
    <row r="15" spans="2:14" ht="15.6" outlineLevel="1">
      <c r="B15" s="134" t="s">
        <v>213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</row>
    <row r="16" spans="2:14" outlineLevel="1">
      <c r="B16" s="96" t="s">
        <v>214</v>
      </c>
      <c r="C16" s="135" t="s">
        <v>215</v>
      </c>
      <c r="D16" s="138"/>
      <c r="E16" s="143"/>
      <c r="F16" s="143"/>
      <c r="G16" s="143"/>
      <c r="H16" s="143"/>
      <c r="I16" s="143"/>
    </row>
    <row r="17" spans="2:14" outlineLevel="1">
      <c r="B17" s="96" t="s">
        <v>216</v>
      </c>
      <c r="C17" s="135" t="s">
        <v>217</v>
      </c>
      <c r="D17" s="138"/>
      <c r="E17" s="143"/>
      <c r="F17" s="143"/>
      <c r="G17" s="143"/>
      <c r="H17" s="143"/>
      <c r="I17" s="143"/>
    </row>
    <row r="18" spans="2:14" outlineLevel="1">
      <c r="B18" s="96" t="s">
        <v>218</v>
      </c>
      <c r="C18" s="135" t="s">
        <v>219</v>
      </c>
      <c r="D18" s="138"/>
      <c r="E18" s="143"/>
      <c r="F18" s="143"/>
      <c r="G18" s="143"/>
      <c r="H18" s="143"/>
      <c r="I18" s="143"/>
    </row>
    <row r="19" spans="2:14" outlineLevel="1">
      <c r="B19" s="96" t="s">
        <v>220</v>
      </c>
      <c r="C19" s="135" t="s">
        <v>221</v>
      </c>
      <c r="D19" s="138"/>
      <c r="E19" s="143"/>
      <c r="F19" s="143"/>
      <c r="G19" s="143"/>
      <c r="H19" s="143"/>
      <c r="I19" s="143"/>
    </row>
    <row r="20" spans="2:14">
      <c r="B20" s="140"/>
      <c r="C20" s="141"/>
      <c r="D20" s="143"/>
      <c r="E20" s="143"/>
      <c r="F20" s="143"/>
      <c r="G20" s="143"/>
      <c r="H20" s="143"/>
      <c r="I20" s="143"/>
    </row>
    <row r="21" spans="2:14" ht="15.6" outlineLevel="1">
      <c r="B21" s="134" t="s">
        <v>222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</row>
    <row r="22" spans="2:14" outlineLevel="1">
      <c r="B22" s="96" t="s">
        <v>223</v>
      </c>
      <c r="C22" s="135" t="s">
        <v>224</v>
      </c>
      <c r="D22" s="138"/>
      <c r="E22" s="143"/>
      <c r="F22" s="143"/>
      <c r="G22" s="143"/>
      <c r="H22" s="143"/>
      <c r="I22" s="143"/>
    </row>
    <row r="23" spans="2:14" outlineLevel="1">
      <c r="B23" s="96" t="s">
        <v>225</v>
      </c>
      <c r="C23" s="135" t="s">
        <v>226</v>
      </c>
      <c r="D23" s="138"/>
    </row>
    <row r="24" spans="2:14" outlineLevel="1">
      <c r="B24" s="96" t="s">
        <v>227</v>
      </c>
      <c r="C24" s="135" t="s">
        <v>228</v>
      </c>
      <c r="D24" s="138"/>
    </row>
    <row r="25" spans="2:14" outlineLevel="1">
      <c r="B25" s="96" t="s">
        <v>229</v>
      </c>
      <c r="C25" s="135" t="s">
        <v>230</v>
      </c>
      <c r="D25" s="138"/>
    </row>
    <row r="26" spans="2:14" outlineLevel="1">
      <c r="B26" s="96" t="s">
        <v>231</v>
      </c>
      <c r="C26" s="135" t="s">
        <v>232</v>
      </c>
      <c r="D26" s="138"/>
    </row>
    <row r="27" spans="2:14">
      <c r="B27" s="140"/>
      <c r="C27" s="141"/>
    </row>
    <row r="28" spans="2:14" ht="15.6" outlineLevel="1">
      <c r="B28" s="134" t="s">
        <v>233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</row>
    <row r="29" spans="2:14" outlineLevel="1">
      <c r="B29" s="96" t="s">
        <v>234</v>
      </c>
      <c r="C29" s="135" t="s">
        <v>235</v>
      </c>
      <c r="D29" s="138"/>
    </row>
    <row r="30" spans="2:14" outlineLevel="1">
      <c r="B30" s="96" t="s">
        <v>236</v>
      </c>
      <c r="C30" s="135" t="s">
        <v>237</v>
      </c>
      <c r="D30" s="138"/>
    </row>
    <row r="31" spans="2:14" outlineLevel="1">
      <c r="B31" s="96" t="s">
        <v>238</v>
      </c>
      <c r="C31" s="135" t="s">
        <v>239</v>
      </c>
      <c r="D31" s="138"/>
    </row>
    <row r="32" spans="2:14" outlineLevel="1">
      <c r="B32" s="96" t="s">
        <v>240</v>
      </c>
      <c r="C32" s="135" t="s">
        <v>241</v>
      </c>
      <c r="D32" s="138"/>
    </row>
    <row r="34" spans="2:14" ht="15.6" outlineLevel="1">
      <c r="B34" s="134" t="s">
        <v>242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</row>
    <row r="35" spans="2:14" outlineLevel="1">
      <c r="B35" s="96" t="s">
        <v>243</v>
      </c>
      <c r="C35" s="135" t="s">
        <v>244</v>
      </c>
      <c r="D35" s="138"/>
    </row>
    <row r="36" spans="2:14" outlineLevel="1">
      <c r="B36" s="96" t="s">
        <v>245</v>
      </c>
      <c r="C36" s="135" t="s">
        <v>246</v>
      </c>
      <c r="D36" s="138"/>
    </row>
    <row r="37" spans="2:14" outlineLevel="1">
      <c r="B37" s="96" t="s">
        <v>247</v>
      </c>
      <c r="C37" s="135" t="s">
        <v>248</v>
      </c>
      <c r="D37" s="138"/>
    </row>
    <row r="38" spans="2:14" outlineLevel="1">
      <c r="B38" s="96" t="s">
        <v>249</v>
      </c>
      <c r="C38" s="135" t="s">
        <v>250</v>
      </c>
      <c r="D38" s="138"/>
    </row>
    <row r="40" spans="2:14" ht="15.6" outlineLevel="1">
      <c r="B40" s="134" t="s">
        <v>251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</row>
    <row r="41" spans="2:14" outlineLevel="1">
      <c r="B41" s="96" t="s">
        <v>252</v>
      </c>
      <c r="C41" s="135" t="s">
        <v>253</v>
      </c>
      <c r="D41" s="138"/>
    </row>
    <row r="42" spans="2:14" outlineLevel="1">
      <c r="B42" s="96" t="s">
        <v>254</v>
      </c>
      <c r="C42" s="135" t="s">
        <v>255</v>
      </c>
      <c r="D42" s="138"/>
    </row>
    <row r="43" spans="2:14" outlineLevel="1">
      <c r="B43" s="96" t="s">
        <v>256</v>
      </c>
      <c r="C43" s="135" t="s">
        <v>257</v>
      </c>
      <c r="D43" s="138"/>
    </row>
    <row r="44" spans="2:14" outlineLevel="1">
      <c r="B44" s="96" t="s">
        <v>258</v>
      </c>
      <c r="C44" s="135" t="s">
        <v>259</v>
      </c>
      <c r="D44" s="138"/>
    </row>
  </sheetData>
  <mergeCells count="2">
    <mergeCell ref="E2:I2"/>
    <mergeCell ref="J2:N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22"/>
  <sheetViews>
    <sheetView showGridLines="0" zoomScaleNormal="100" workbookViewId="0">
      <selection activeCell="J13" sqref="J13"/>
    </sheetView>
  </sheetViews>
  <sheetFormatPr defaultColWidth="8.6640625" defaultRowHeight="15.6"/>
  <cols>
    <col min="1" max="1" width="45" style="4" customWidth="1"/>
    <col min="2" max="6" width="18" style="4" customWidth="1"/>
    <col min="7" max="16384" width="8.6640625" style="4"/>
  </cols>
  <sheetData>
    <row r="1" spans="1:6">
      <c r="A1" s="1" t="s">
        <v>129</v>
      </c>
    </row>
    <row r="3" spans="1:6">
      <c r="A3" s="1" t="s">
        <v>130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5" spans="1:6">
      <c r="A5" s="1" t="s">
        <v>131</v>
      </c>
      <c r="B5" s="6">
        <f>'Balance Sheet'!D23-'Balance Sheet'!D52</f>
        <v>0</v>
      </c>
      <c r="C5" s="6">
        <f>'Balance Sheet'!E23-'Balance Sheet'!E52</f>
        <v>0</v>
      </c>
      <c r="D5" s="6">
        <f>'Balance Sheet'!F23-'Balance Sheet'!F52</f>
        <v>0</v>
      </c>
      <c r="E5" s="6">
        <f>'Balance Sheet'!G23-'Balance Sheet'!G52</f>
        <v>0</v>
      </c>
      <c r="F5" s="6">
        <f>'Balance Sheet'!H23-'Balance Sheet'!H52</f>
        <v>0</v>
      </c>
    </row>
    <row r="6" spans="1:6">
      <c r="A6" s="4" t="s">
        <v>132</v>
      </c>
      <c r="B6" s="1" t="str">
        <f>IF(ABS(B5)&lt;0.01,"PASS","FAIL")</f>
        <v>PASS</v>
      </c>
      <c r="C6" s="1" t="str">
        <f>IF(ABS(C5)&lt;0.01,"PASS","FAIL")</f>
        <v>PASS</v>
      </c>
      <c r="D6" s="1" t="str">
        <f>IF(ABS(D5)&lt;0.01,"PASS","FAIL")</f>
        <v>PASS</v>
      </c>
      <c r="E6" s="1" t="str">
        <f>IF(ABS(E5)&lt;0.01,"PASS","FAIL")</f>
        <v>PASS</v>
      </c>
      <c r="F6" s="1" t="str">
        <f>IF(ABS(F5)&lt;0.01,"PASS","FAIL")</f>
        <v>PASS</v>
      </c>
    </row>
    <row r="9" spans="1:6">
      <c r="A9" s="1" t="s">
        <v>133</v>
      </c>
      <c r="B9" s="6">
        <f>'Balance Sheet'!D6-'Cash Flow'!D30</f>
        <v>0</v>
      </c>
      <c r="C9" s="6">
        <f>'Balance Sheet'!E6-'Cash Flow'!E30</f>
        <v>0</v>
      </c>
      <c r="D9" s="6">
        <f>'Balance Sheet'!F6-'Cash Flow'!F30</f>
        <v>0</v>
      </c>
      <c r="E9" s="6">
        <f>'Balance Sheet'!G6-'Cash Flow'!G30</f>
        <v>0</v>
      </c>
      <c r="F9" s="6">
        <f>'Balance Sheet'!H6-'Cash Flow'!H30</f>
        <v>0</v>
      </c>
    </row>
    <row r="10" spans="1:6">
      <c r="A10" s="4" t="s">
        <v>132</v>
      </c>
      <c r="B10" s="1" t="str">
        <f>IF(ABS(B9)&lt;0.01,"PASS","FAIL")</f>
        <v>PASS</v>
      </c>
      <c r="C10" s="1" t="str">
        <f>IF(ABS(C9)&lt;0.01,"PASS","FAIL")</f>
        <v>PASS</v>
      </c>
      <c r="D10" s="1" t="str">
        <f>IF(ABS(D9)&lt;0.01,"PASS","FAIL")</f>
        <v>PASS</v>
      </c>
      <c r="E10" s="1" t="str">
        <f>IF(ABS(E9)&lt;0.01,"PASS","FAIL")</f>
        <v>PASS</v>
      </c>
      <c r="F10" s="1" t="str">
        <f>IF(ABS(F9)&lt;0.01,"PASS","FAIL")</f>
        <v>PASS</v>
      </c>
    </row>
    <row r="13" spans="1:6">
      <c r="A13" s="1" t="s">
        <v>134</v>
      </c>
      <c r="B13" s="6">
        <f>'NWC Schedule'!D25-('NWC Schedule'!D11+'NWC Schedule'!D14-'NWC Schedule'!D17)</f>
        <v>-7679.178082191781</v>
      </c>
      <c r="C13" s="6">
        <f>'NWC Schedule'!E25-('NWC Schedule'!E11+'NWC Schedule'!E14-'NWC Schedule'!E17)</f>
        <v>-7993.1890410958895</v>
      </c>
      <c r="D13" s="6">
        <f>'NWC Schedule'!F25-('NWC Schedule'!F11+'NWC Schedule'!F14-'NWC Schedule'!F17)</f>
        <v>-8222.8653150684931</v>
      </c>
      <c r="E13" s="6">
        <f>'NWC Schedule'!G25-('NWC Schedule'!G11+'NWC Schedule'!G14-'NWC Schedule'!G17)</f>
        <v>-8319.5164739726024</v>
      </c>
      <c r="F13" s="6">
        <f>'NWC Schedule'!H25-('NWC Schedule'!H11+'NWC Schedule'!H14-'NWC Schedule'!H17)</f>
        <v>-8311.4418648082192</v>
      </c>
    </row>
    <row r="14" spans="1:6">
      <c r="A14" s="4" t="s">
        <v>132</v>
      </c>
      <c r="B14" s="1" t="str">
        <f>IF(ABS(B13)&lt;0.01,"PASS","FAIL")</f>
        <v>FAIL</v>
      </c>
      <c r="C14" s="1" t="str">
        <f>IF(ABS(C13)&lt;0.01,"PASS","FAIL")</f>
        <v>FAIL</v>
      </c>
      <c r="D14" s="1" t="str">
        <f>IF(ABS(D13)&lt;0.01,"PASS","FAIL")</f>
        <v>FAIL</v>
      </c>
      <c r="E14" s="1" t="str">
        <f>IF(ABS(E13)&lt;0.01,"PASS","FAIL")</f>
        <v>FAIL</v>
      </c>
      <c r="F14" s="1" t="str">
        <f>IF(ABS(F13)&lt;0.01,"PASS","FAIL")</f>
        <v>FAIL</v>
      </c>
    </row>
    <row r="17" spans="1:6">
      <c r="A17" s="1" t="s">
        <v>135</v>
      </c>
      <c r="B17" s="6" t="e">
        <f>'Balance Sheet'!D49-('Balance Sheet'!C49+'Income Statement'!#REF!+'Cash Flow'!D24)</f>
        <v>#REF!</v>
      </c>
      <c r="C17" s="6" t="e">
        <f>'Balance Sheet'!E49-('Balance Sheet'!D49+'Income Statement'!#REF!+'Cash Flow'!E24)</f>
        <v>#REF!</v>
      </c>
      <c r="D17" s="6" t="e">
        <f>'Balance Sheet'!F49-('Balance Sheet'!E49+'Income Statement'!#REF!+'Cash Flow'!F24)</f>
        <v>#REF!</v>
      </c>
      <c r="E17" s="6" t="e">
        <f>'Balance Sheet'!G49-('Balance Sheet'!F49+'Income Statement'!#REF!+'Cash Flow'!G24)</f>
        <v>#REF!</v>
      </c>
      <c r="F17" s="6" t="e">
        <f>'Balance Sheet'!H49-('Balance Sheet'!G49+'Income Statement'!#REF!+'Cash Flow'!H24)</f>
        <v>#REF!</v>
      </c>
    </row>
    <row r="18" spans="1:6">
      <c r="A18" s="4" t="s">
        <v>132</v>
      </c>
      <c r="B18" s="1" t="e">
        <f>IF(ABS(B17)&lt;0.01,"PASS","FAIL")</f>
        <v>#REF!</v>
      </c>
      <c r="C18" s="1" t="e">
        <f>IF(ABS(C17)&lt;0.01,"PASS","FAIL")</f>
        <v>#REF!</v>
      </c>
      <c r="D18" s="1" t="e">
        <f>IF(ABS(D17)&lt;0.01,"PASS","FAIL")</f>
        <v>#REF!</v>
      </c>
      <c r="E18" s="1" t="e">
        <f>IF(ABS(E17)&lt;0.01,"PASS","FAIL")</f>
        <v>#REF!</v>
      </c>
      <c r="F18" s="1" t="e">
        <f>IF(ABS(F17)&lt;0.01,"PASS","FAIL")</f>
        <v>#REF!</v>
      </c>
    </row>
    <row r="21" spans="1:6">
      <c r="A21" s="2" t="s">
        <v>136</v>
      </c>
    </row>
    <row r="22" spans="1:6">
      <c r="B22" s="1" t="str">
        <f>IF(COUNTIF(B5:B16,"FAIL")=0,"ALL CHECKS PASS","REVIEW REQUIRED")</f>
        <v>REVIEW REQUIRED</v>
      </c>
      <c r="C22" s="1" t="str">
        <f>IF(COUNTIF(C5:C16,"FAIL")=0,"ALL CHECKS PASS","REVIEW REQUIRED")</f>
        <v>REVIEW REQUIRED</v>
      </c>
      <c r="D22" s="1" t="str">
        <f>IF(COUNTIF(D5:D16,"FAIL")=0,"ALL CHECKS PASS","REVIEW REQUIRED")</f>
        <v>REVIEW REQUIRED</v>
      </c>
      <c r="E22" s="1" t="str">
        <f>IF(COUNTIF(E5:E16,"FAIL")=0,"ALL CHECKS PASS","REVIEW REQUIRED")</f>
        <v>REVIEW REQUIRED</v>
      </c>
      <c r="F22" s="1" t="str">
        <f>IF(COUNTIF(F5:F16,"FAIL")=0,"ALL CHECKS PASS","REVIEW REQUIRED")</f>
        <v>REVIEW REQUIRED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Debt Schedule</vt:lpstr>
      <vt:lpstr>PPE Schedule</vt:lpstr>
      <vt:lpstr>NWC Schedule</vt:lpstr>
      <vt:lpstr>Income Statement</vt:lpstr>
      <vt:lpstr>Cash Flow</vt:lpstr>
      <vt:lpstr>Balance Sheet</vt:lpstr>
      <vt:lpstr>Ratio Analysis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Raj</cp:lastModifiedBy>
  <cp:revision>0</cp:revision>
  <dcterms:created xsi:type="dcterms:W3CDTF">2026-02-06T10:00:04Z</dcterms:created>
  <dcterms:modified xsi:type="dcterms:W3CDTF">2026-02-07T12:55:53Z</dcterms:modified>
  <dc:language>en-US</dc:language>
</cp:coreProperties>
</file>